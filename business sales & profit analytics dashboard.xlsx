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6ca8a3f67e35777/Desktop/"/>
    </mc:Choice>
  </mc:AlternateContent>
  <xr:revisionPtr revIDLastSave="2" documentId="8_{83309B82-70DE-47DC-A8AC-47A1C8D85C3D}" xr6:coauthVersionLast="47" xr6:coauthVersionMax="47" xr10:uidLastSave="{6CCA6392-C06A-422A-A414-1B7D8C3ADFFC}"/>
  <bookViews>
    <workbookView xWindow="-108" yWindow="-108" windowWidth="23256" windowHeight="13176" activeTab="3" xr2:uid="{00000000-000D-0000-FFFF-FFFF00000000}"/>
  </bookViews>
  <sheets>
    <sheet name="Sheet3" sheetId="4" r:id="rId1"/>
    <sheet name="Sheet4" sheetId="5" r:id="rId2"/>
    <sheet name="Sheet5" sheetId="6" r:id="rId3"/>
    <sheet name="Dashboard" sheetId="7" r:id="rId4"/>
    <sheet name="Raw_Data" sheetId="1" r:id="rId5"/>
    <sheet name="Analysis" sheetId="3" r:id="rId6"/>
  </sheet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2" i="1" l="1"/>
  <c r="J102" i="1"/>
  <c r="C9" i="3"/>
  <c r="C10" i="3"/>
  <c r="C11" i="3"/>
  <c r="B9" i="3"/>
  <c r="B10" i="3"/>
  <c r="B11" i="3"/>
  <c r="C8" i="3"/>
  <c r="B8" i="3"/>
  <c r="B4" i="3"/>
  <c r="B3" i="3"/>
  <c r="B2" i="3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</calcChain>
</file>

<file path=xl/sharedStrings.xml><?xml version="1.0" encoding="utf-8"?>
<sst xmlns="http://schemas.openxmlformats.org/spreadsheetml/2006/main" count="797" uniqueCount="246">
  <si>
    <t>Order ID</t>
  </si>
  <si>
    <t>Order Date</t>
  </si>
  <si>
    <t>Product</t>
  </si>
  <si>
    <t>Category</t>
  </si>
  <si>
    <t>Region</t>
  </si>
  <si>
    <t>Salesperson</t>
  </si>
  <si>
    <t>Quantity</t>
  </si>
  <si>
    <t>Unit Price</t>
  </si>
  <si>
    <t>Discount</t>
  </si>
  <si>
    <t>Total Sales</t>
  </si>
  <si>
    <t>Profit</t>
  </si>
  <si>
    <t>Payment Mode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</si>
  <si>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</si>
  <si>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</si>
  <si>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</si>
  <si>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</si>
  <si>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</si>
  <si>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</si>
  <si>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</si>
  <si>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</si>
  <si>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</si>
  <si>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</si>
  <si>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</si>
  <si>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</si>
  <si>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</si>
  <si>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</si>
  <si>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</si>
  <si>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</si>
  <si>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</si>
  <si>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</si>
  <si>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</si>
  <si>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</si>
  <si>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</si>
  <si>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</si>
  <si>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</si>
  <si>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</si>
  <si>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</si>
  <si>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</si>
  <si>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</si>
  <si>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</si>
  <si>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</si>
  <si>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</si>
  <si>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</si>
  <si>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</si>
  <si>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</si>
  <si>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</si>
  <si>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</si>
  <si>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</si>
  <si>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</si>
  <si>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</si>
  <si>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</si>
  <si>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</si>
  <si>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</si>
  <si>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</si>
  <si>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</si>
  <si>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</si>
  <si>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</si>
  <si>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</si>
  <si>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</si>
  <si>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</si>
  <si>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</si>
  <si>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</si>
  <si>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</si>
  <si>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</si>
  <si>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</si>
  <si>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</si>
  <si>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</si>
  <si>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</si>
  <si>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</si>
  <si>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</si>
  <si>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</si>
  <si>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</si>
  <si>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</si>
  <si>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</si>
  <si>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</si>
  <si>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</si>
  <si>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</si>
  <si>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</si>
  <si>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</si>
  <si>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</si>
  <si>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</si>
  <si>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</si>
  <si>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</si>
  <si>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</si>
  <si>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</si>
  <si>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</si>
  <si>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</si>
  <si>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</si>
  <si>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</si>
  <si>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</si>
  <si>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</si>
  <si>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</si>
  <si>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</si>
  <si>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</si>
  <si>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</si>
  <si>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</si>
  <si>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</si>
  <si>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</si>
  <si>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</si>
  <si>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</si>
  <si>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</si>
  <si>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</si>
  <si>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</si>
  <si>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</si>
  <si>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</si>
  <si>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</si>
  <si>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</si>
  <si>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</si>
  <si>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</si>
  <si>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</si>
  <si>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</si>
  <si>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</si>
  <si>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27-02-2026</t>
  </si>
  <si>
    <t>10-05-2026</t>
  </si>
  <si>
    <t>14-07-2026</t>
  </si>
  <si>
    <t>27-01-2026</t>
  </si>
  <si>
    <t>28-04-2026</t>
  </si>
  <si>
    <t>18-01-2026</t>
  </si>
  <si>
    <t>12-06-2026</t>
  </si>
  <si>
    <t>15-06-2026</t>
  </si>
  <si>
    <t>26-06-2026</t>
  </si>
  <si>
    <t>24-02-2026</t>
  </si>
  <si>
    <t>05-03-2026</t>
  </si>
  <si>
    <t>11-05-2026</t>
  </si>
  <si>
    <t>08-04-2026</t>
  </si>
  <si>
    <t>29-01-2026</t>
  </si>
  <si>
    <t>11-08-2026</t>
  </si>
  <si>
    <t>05-01-2026</t>
  </si>
  <si>
    <t>22-01-2026</t>
  </si>
  <si>
    <t>19-04-2026</t>
  </si>
  <si>
    <t>31-01-2026</t>
  </si>
  <si>
    <t>19-01-2026</t>
  </si>
  <si>
    <t>13-03-2026</t>
  </si>
  <si>
    <t>25-01-2026</t>
  </si>
  <si>
    <t>22-06-2026</t>
  </si>
  <si>
    <t>18-05-2026</t>
  </si>
  <si>
    <t>24-04-2026</t>
  </si>
  <si>
    <t>04-05-2026</t>
  </si>
  <si>
    <t>26-08-2026</t>
  </si>
  <si>
    <t>25-02-2026</t>
  </si>
  <si>
    <t>10-02-2026</t>
  </si>
  <si>
    <t>14-04-2026</t>
  </si>
  <si>
    <t>21-06-2026</t>
  </si>
  <si>
    <t>03-01-2026</t>
  </si>
  <si>
    <t>14-08-2026</t>
  </si>
  <si>
    <t>19-03-2026</t>
  </si>
  <si>
    <t>10-07-2026</t>
  </si>
  <si>
    <t>13-06-2026</t>
  </si>
  <si>
    <t>20-08-2026</t>
  </si>
  <si>
    <t>19-08-2026</t>
  </si>
  <si>
    <t>15-08-2026</t>
  </si>
  <si>
    <t>25-08-2026</t>
  </si>
  <si>
    <t>08-08-2026</t>
  </si>
  <si>
    <t>19-02-2026</t>
  </si>
  <si>
    <t>26-03-2026</t>
  </si>
  <si>
    <t>22-04-2026</t>
  </si>
  <si>
    <t>06-08-2026</t>
  </si>
  <si>
    <t>02-02-2026</t>
  </si>
  <si>
    <t>21-04-2026</t>
  </si>
  <si>
    <t>13-02-2026</t>
  </si>
  <si>
    <t>07-02-2026</t>
  </si>
  <si>
    <t>17-08-2026</t>
  </si>
  <si>
    <t>23-08-2026</t>
  </si>
  <si>
    <t>06-06-2026</t>
  </si>
  <si>
    <t>04-08-2026</t>
  </si>
  <si>
    <t>11-03-2026</t>
  </si>
  <si>
    <t>10-04-2026</t>
  </si>
  <si>
    <t>07-08-2026</t>
  </si>
  <si>
    <t>25-05-2026</t>
  </si>
  <si>
    <t>25-03-2026</t>
  </si>
  <si>
    <t>01-05-2026</t>
  </si>
  <si>
    <t>21-02-2026</t>
  </si>
  <si>
    <t>30-04-2026</t>
  </si>
  <si>
    <t>18-07-2026</t>
  </si>
  <si>
    <t>04-03-2026</t>
  </si>
  <si>
    <t>01-04-2026</t>
  </si>
  <si>
    <t>24-01-2026</t>
  </si>
  <si>
    <t>30-03-2026</t>
  </si>
  <si>
    <t>04-07-2026</t>
  </si>
  <si>
    <t>04-01-2026</t>
  </si>
  <si>
    <t>29-03-2026</t>
  </si>
  <si>
    <t>28-05-2026</t>
  </si>
  <si>
    <t>20-04-2026</t>
  </si>
  <si>
    <t>03-03-2026</t>
  </si>
  <si>
    <t>16-03-2026</t>
  </si>
  <si>
    <t>31-05-2026</t>
  </si>
  <si>
    <t>31-07-2026</t>
  </si>
  <si>
    <t>08-07-2026</t>
  </si>
  <si>
    <t>30-07-2026</t>
  </si>
  <si>
    <t>30-05-2026</t>
  </si>
  <si>
    <t>10-01-2026</t>
  </si>
  <si>
    <t>18-06-2026</t>
  </si>
  <si>
    <t>10-06-2026</t>
  </si>
  <si>
    <t>15-04-2026</t>
  </si>
  <si>
    <t>18-02-2026</t>
  </si>
  <si>
    <t>Monitor</t>
  </si>
  <si>
    <t>Laptop</t>
  </si>
  <si>
    <t>SSD 1TB</t>
  </si>
  <si>
    <t>Keyboard</t>
  </si>
  <si>
    <t>Office Chair</t>
  </si>
  <si>
    <t>Mouse</t>
  </si>
  <si>
    <t>Router</t>
  </si>
  <si>
    <t>Printer</t>
  </si>
  <si>
    <t>Headset</t>
  </si>
  <si>
    <t>Webcam</t>
  </si>
  <si>
    <t>Electronics</t>
  </si>
  <si>
    <t>Storage</t>
  </si>
  <si>
    <t>Accessories</t>
  </si>
  <si>
    <t>Furniture</t>
  </si>
  <si>
    <t>Networking</t>
  </si>
  <si>
    <t>Office Equipment</t>
  </si>
  <si>
    <t>North</t>
  </si>
  <si>
    <t>South</t>
  </si>
  <si>
    <t>West</t>
  </si>
  <si>
    <t>East</t>
  </si>
  <si>
    <t>Neha</t>
  </si>
  <si>
    <t>Karan</t>
  </si>
  <si>
    <t>Ananya</t>
  </si>
  <si>
    <t>Vikram</t>
  </si>
  <si>
    <t>Priya</t>
  </si>
  <si>
    <t>Aarav</t>
  </si>
  <si>
    <t>Sneha</t>
  </si>
  <si>
    <t>Rohan</t>
  </si>
  <si>
    <t>Bank Transfer</t>
  </si>
  <si>
    <t>Credit Card</t>
  </si>
  <si>
    <t>Debit Card</t>
  </si>
  <si>
    <t>UPI</t>
  </si>
  <si>
    <t>KPI</t>
  </si>
  <si>
    <t>Value</t>
  </si>
  <si>
    <t>Total profit</t>
  </si>
  <si>
    <t>total sales</t>
  </si>
  <si>
    <t>total profit</t>
  </si>
  <si>
    <t>profit margin</t>
  </si>
  <si>
    <t>north</t>
  </si>
  <si>
    <t>south</t>
  </si>
  <si>
    <t>east</t>
  </si>
  <si>
    <t>west</t>
  </si>
  <si>
    <t>Sum of Total Sales</t>
  </si>
  <si>
    <t>Row Labels</t>
  </si>
  <si>
    <t>Grand Total</t>
  </si>
  <si>
    <t>Sum of Profit</t>
  </si>
  <si>
    <t>BUSINESS SALES &amp; PROFIT ANALYTICS DASHBOARD</t>
  </si>
  <si>
    <t>Profit Margin</t>
  </si>
  <si>
    <t>Total Orders</t>
  </si>
  <si>
    <t>Sales &amp; Profit by Region</t>
  </si>
  <si>
    <t>Sales &amp; Profit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</si>
</sst>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sz val="11"/>
      <color theme="1"/>
      <name val="Mangal"/>
      <family val="2"/>
      <scheme val="minor"/>
    </font>
    <font>
      <b/>
      <sz val="14"/>
      <color theme="1"/>
      <name val="Mangal"/>
      <family val="1"/>
      <scheme val="minor"/>
    </font>
    <font>
      <sz val="14"/>
      <color theme="1"/>
      <name val="Mangal"/>
      <family val="2"/>
      <scheme val="minor"/>
    </font>
    <font>
      <sz val="18"/>
      <color theme="1"/>
      <name val="Mangal"/>
      <family val="2"/>
      <scheme val="minor"/>
    </font>
    <font>
      <b/>
      <sz val="18"/>
      <color theme="1"/>
      <name val="Mangal"/>
      <family val="1"/>
      <scheme val="minor"/>
    </font>
    <font>
      <sz val="14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9" fontId="0" fillId="0" borderId="0" xfId="1" applyFont="1" applyAlignment="1">
      <alignment horizontal="center" vertical="top"/>
    </xf>
    <xf numFmtId="9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pivotButton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5"/>
    </xf>
    <xf numFmtId="0" fontId="6" fillId="0" borderId="0" xfId="0" applyFont="1" applyAlignment="1">
      <alignment horizontal="left" vertical="center" indent="17"/>
    </xf>
    <xf numFmtId="0" fontId="0" fillId="0" borderId="0" xfId="0" applyAlignment="1">
      <alignment horizontal="left" indent="21"/>
    </xf>
    <xf numFmtId="0" fontId="7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2"/>
    </xf>
    <xf numFmtId="0" fontId="7" fillId="0" borderId="0" xfId="0" applyFont="1" applyAlignment="1">
      <alignment horizontal="left" indent="21"/>
    </xf>
    <xf numFmtId="0" fontId="3" fillId="0" borderId="1" xfId="0" applyFont="1" applyBorder="1" applyAlignment="1">
      <alignment horizontal="left"/>
    </xf>
    <xf numFmtId="4" fontId="5" fillId="0" borderId="1" xfId="0" applyNumberFormat="1" applyFont="1" applyBorder="1" applyAlignment="1">
      <alignment horizontal="left"/>
    </xf>
    <xf numFmtId="10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NumberFormat="1" applyAlignment="1">
      <alignment horizontal="center" vertical="top"/>
    </xf>
  </cellXfs>
  <cellStyles count="2">
    <cellStyle name="Normal" xfId="0" builtinId="0"/>
    <cellStyle name="Percent" xfId="1" builtinId="5"/>
  </cellStyles>
  <dxfs count="59">
    <dxf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ngal"/>
        <family val="2"/>
        <scheme val="minor"/>
      </font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angal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sales ^0 profit analytics dashboard.xlsx]Sheet3!PivotTable1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1377334.3917999996</c:v>
                </c:pt>
                <c:pt idx="1">
                  <c:v>1310188.9553</c:v>
                </c:pt>
                <c:pt idx="2">
                  <c:v>803471.7415</c:v>
                </c:pt>
                <c:pt idx="3">
                  <c:v>803057.52449999994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9-4C12-8604-D8C5F53E86D2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Sheet3!$C$4:$C$8</c:f>
              <c:numCache>
                <c:formatCode>General</c:formatCode>
                <c:ptCount val="4"/>
                <c:pt idx="0">
                  <c:v>235977.59080000006</c:v>
                </c:pt>
                <c:pt idx="1">
                  <c:v>232075.55269999994</c:v>
                </c:pt>
                <c:pt idx="2">
                  <c:v>130423.01709999995</c:v>
                </c:pt>
                <c:pt idx="3">
                  <c:v>130715.7531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49-4C12-8604-D8C5F53E8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4865472"/>
        <c:axId val="259587600"/>
      </c:barChart>
      <c:catAx>
        <c:axId val="36486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59587600"/>
        <c:crosses val="autoZero"/>
        <c:auto val="1"/>
        <c:lblAlgn val="ctr"/>
        <c:lblOffset val="100"/>
        <c:noMultiLvlLbl val="0"/>
      </c:catAx>
      <c:valAx>
        <c:axId val="25958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36486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sales ^0 profit analytics dashboard.xlsx]Sheet4!PivotTable2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Sheet4!$A$4:$A$14</c:f>
              <c:strCache>
                <c:ptCount val="10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SSD 1TB</c:v>
                </c:pt>
                <c:pt idx="4">
                  <c:v>Office Chair</c:v>
                </c:pt>
                <c:pt idx="5">
                  <c:v>Webcam</c:v>
                </c:pt>
                <c:pt idx="6">
                  <c:v>Router</c:v>
                </c:pt>
                <c:pt idx="7">
                  <c:v>Keyboard</c:v>
                </c:pt>
                <c:pt idx="8">
                  <c:v>Headset</c:v>
                </c:pt>
                <c:pt idx="9">
                  <c:v>Mouse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1877688.4645999998</c:v>
                </c:pt>
                <c:pt idx="1">
                  <c:v>695340.95269999991</c:v>
                </c:pt>
                <c:pt idx="2">
                  <c:v>457859.23740000004</c:v>
                </c:pt>
                <c:pt idx="3">
                  <c:v>418392.90330000001</c:v>
                </c:pt>
                <c:pt idx="4">
                  <c:v>331036.17089999997</c:v>
                </c:pt>
                <c:pt idx="5">
                  <c:v>148201.99660000001</c:v>
                </c:pt>
                <c:pt idx="6">
                  <c:v>134705.2683</c:v>
                </c:pt>
                <c:pt idx="7">
                  <c:v>110550.0582</c:v>
                </c:pt>
                <c:pt idx="8">
                  <c:v>63822.600999999995</c:v>
                </c:pt>
                <c:pt idx="9">
                  <c:v>56454.960100000004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A-4BC0-91C0-AB67565CBF03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Sheet4!$A$4:$A$14</c:f>
              <c:strCache>
                <c:ptCount val="10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SSD 1TB</c:v>
                </c:pt>
                <c:pt idx="4">
                  <c:v>Office Chair</c:v>
                </c:pt>
                <c:pt idx="5">
                  <c:v>Webcam</c:v>
                </c:pt>
                <c:pt idx="6">
                  <c:v>Router</c:v>
                </c:pt>
                <c:pt idx="7">
                  <c:v>Keyboard</c:v>
                </c:pt>
                <c:pt idx="8">
                  <c:v>Headset</c:v>
                </c:pt>
                <c:pt idx="9">
                  <c:v>Mouse</c:v>
                </c:pt>
              </c:strCache>
            </c:strRef>
          </c:cat>
          <c:val>
            <c:numRef>
              <c:f>Sheet4!$C$4:$C$14</c:f>
              <c:numCache>
                <c:formatCode>General</c:formatCode>
                <c:ptCount val="10"/>
                <c:pt idx="0">
                  <c:v>348805.07479999989</c:v>
                </c:pt>
                <c:pt idx="1">
                  <c:v>104138.99329999999</c:v>
                </c:pt>
                <c:pt idx="2">
                  <c:v>66839.325000000012</c:v>
                </c:pt>
                <c:pt idx="3">
                  <c:v>70989.717300000004</c:v>
                </c:pt>
                <c:pt idx="4">
                  <c:v>48382.360499999995</c:v>
                </c:pt>
                <c:pt idx="5">
                  <c:v>26540.209600000006</c:v>
                </c:pt>
                <c:pt idx="6">
                  <c:v>24711.454499999996</c:v>
                </c:pt>
                <c:pt idx="7">
                  <c:v>18304.122599999995</c:v>
                </c:pt>
                <c:pt idx="8">
                  <c:v>11428.394199999997</c:v>
                </c:pt>
                <c:pt idx="9">
                  <c:v>9052.2618999999977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6A-4BC0-91C0-AB67565CB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776800"/>
        <c:axId val="259554000"/>
      </c:barChart>
      <c:catAx>
        <c:axId val="49277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59554000"/>
        <c:crosses val="autoZero"/>
        <c:auto val="1"/>
        <c:lblAlgn val="ctr"/>
        <c:lblOffset val="100"/>
        <c:noMultiLvlLbl val="0"/>
      </c:catAx>
      <c:valAx>
        <c:axId val="25955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49277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sales ^0 profit analytics dashboard.xlsx]Sheet5!PivotTable3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Electronics</c:v>
                </c:pt>
                <c:pt idx="1">
                  <c:v>Office Equipment</c:v>
                </c:pt>
                <c:pt idx="2">
                  <c:v>Storage</c:v>
                </c:pt>
                <c:pt idx="3">
                  <c:v>Furniture</c:v>
                </c:pt>
                <c:pt idx="4">
                  <c:v>Accessories</c:v>
                </c:pt>
                <c:pt idx="5">
                  <c:v>Networking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2721231.4139000005</c:v>
                </c:pt>
                <c:pt idx="1">
                  <c:v>457859.23740000004</c:v>
                </c:pt>
                <c:pt idx="2">
                  <c:v>418392.90330000001</c:v>
                </c:pt>
                <c:pt idx="3">
                  <c:v>331036.17089999997</c:v>
                </c:pt>
                <c:pt idx="4">
                  <c:v>230827.61929999996</c:v>
                </c:pt>
                <c:pt idx="5">
                  <c:v>134705.2683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1-4C82-B18A-2E3604EE66FC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Electronics</c:v>
                </c:pt>
                <c:pt idx="1">
                  <c:v>Office Equipment</c:v>
                </c:pt>
                <c:pt idx="2">
                  <c:v>Storage</c:v>
                </c:pt>
                <c:pt idx="3">
                  <c:v>Furniture</c:v>
                </c:pt>
                <c:pt idx="4">
                  <c:v>Accessories</c:v>
                </c:pt>
                <c:pt idx="5">
                  <c:v>Networking</c:v>
                </c:pt>
              </c:strCache>
            </c:strRef>
          </c:cat>
          <c:val>
            <c:numRef>
              <c:f>Sheet5!$C$4:$C$10</c:f>
              <c:numCache>
                <c:formatCode>General</c:formatCode>
                <c:ptCount val="6"/>
                <c:pt idx="0">
                  <c:v>479484.27769999992</c:v>
                </c:pt>
                <c:pt idx="1">
                  <c:v>66839.325000000012</c:v>
                </c:pt>
                <c:pt idx="2">
                  <c:v>70989.717300000004</c:v>
                </c:pt>
                <c:pt idx="3">
                  <c:v>48382.360499999995</c:v>
                </c:pt>
                <c:pt idx="4">
                  <c:v>38784.778699999981</c:v>
                </c:pt>
                <c:pt idx="5">
                  <c:v>24711.454499999996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F1-4C82-B18A-2E3604EE6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824432"/>
        <c:axId val="259581360"/>
      </c:barChart>
      <c:catAx>
        <c:axId val="49582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59581360"/>
        <c:crosses val="autoZero"/>
        <c:auto val="1"/>
        <c:lblAlgn val="ctr"/>
        <c:lblOffset val="100"/>
        <c:noMultiLvlLbl val="0"/>
      </c:catAx>
      <c:valAx>
        <c:axId val="2595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49582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sales ^0 profit analytics dashboard.xlsx]Sheet3!PivotTable1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1377334.3917999996</c:v>
                </c:pt>
                <c:pt idx="1">
                  <c:v>1310188.9553</c:v>
                </c:pt>
                <c:pt idx="2">
                  <c:v>803471.7415</c:v>
                </c:pt>
                <c:pt idx="3">
                  <c:v>803057.52449999994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8-49FD-B8CB-1BFD2604BF39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Sheet3!$C$4:$C$8</c:f>
              <c:numCache>
                <c:formatCode>General</c:formatCode>
                <c:ptCount val="4"/>
                <c:pt idx="0">
                  <c:v>235977.59080000006</c:v>
                </c:pt>
                <c:pt idx="1">
                  <c:v>232075.55269999994</c:v>
                </c:pt>
                <c:pt idx="2">
                  <c:v>130423.01709999995</c:v>
                </c:pt>
                <c:pt idx="3">
                  <c:v>130715.7531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8-49FD-B8CB-1BFD2604B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4865472"/>
        <c:axId val="259587600"/>
      </c:barChart>
      <c:catAx>
        <c:axId val="36486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59587600"/>
        <c:crosses val="autoZero"/>
        <c:auto val="1"/>
        <c:lblAlgn val="ctr"/>
        <c:lblOffset val="100"/>
        <c:noMultiLvlLbl val="0"/>
      </c:catAx>
      <c:valAx>
        <c:axId val="25958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36486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sales ^0 profit analytics dashboard.xlsx]Sheet4!PivotTable2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6185147112331"/>
          <c:y val="0.13190981335666374"/>
          <c:w val="0.65864481441838618"/>
          <c:h val="0.533052274715660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Sheet4!$A$4:$A$14</c:f>
              <c:strCache>
                <c:ptCount val="10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SSD 1TB</c:v>
                </c:pt>
                <c:pt idx="4">
                  <c:v>Office Chair</c:v>
                </c:pt>
                <c:pt idx="5">
                  <c:v>Webcam</c:v>
                </c:pt>
                <c:pt idx="6">
                  <c:v>Router</c:v>
                </c:pt>
                <c:pt idx="7">
                  <c:v>Keyboard</c:v>
                </c:pt>
                <c:pt idx="8">
                  <c:v>Headset</c:v>
                </c:pt>
                <c:pt idx="9">
                  <c:v>Mouse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1877688.4645999998</c:v>
                </c:pt>
                <c:pt idx="1">
                  <c:v>695340.95269999991</c:v>
                </c:pt>
                <c:pt idx="2">
                  <c:v>457859.23740000004</c:v>
                </c:pt>
                <c:pt idx="3">
                  <c:v>418392.90330000001</c:v>
                </c:pt>
                <c:pt idx="4">
                  <c:v>331036.17089999997</c:v>
                </c:pt>
                <c:pt idx="5">
                  <c:v>148201.99660000001</c:v>
                </c:pt>
                <c:pt idx="6">
                  <c:v>134705.2683</c:v>
                </c:pt>
                <c:pt idx="7">
                  <c:v>110550.0582</c:v>
                </c:pt>
                <c:pt idx="8">
                  <c:v>63822.600999999995</c:v>
                </c:pt>
                <c:pt idx="9">
                  <c:v>56454.960100000004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D-45D7-9A0C-F2BFAB29A859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Sheet4!$A$4:$A$14</c:f>
              <c:strCache>
                <c:ptCount val="10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SSD 1TB</c:v>
                </c:pt>
                <c:pt idx="4">
                  <c:v>Office Chair</c:v>
                </c:pt>
                <c:pt idx="5">
                  <c:v>Webcam</c:v>
                </c:pt>
                <c:pt idx="6">
                  <c:v>Router</c:v>
                </c:pt>
                <c:pt idx="7">
                  <c:v>Keyboard</c:v>
                </c:pt>
                <c:pt idx="8">
                  <c:v>Headset</c:v>
                </c:pt>
                <c:pt idx="9">
                  <c:v>Mouse</c:v>
                </c:pt>
              </c:strCache>
            </c:strRef>
          </c:cat>
          <c:val>
            <c:numRef>
              <c:f>Sheet4!$C$4:$C$14</c:f>
              <c:numCache>
                <c:formatCode>General</c:formatCode>
                <c:ptCount val="10"/>
                <c:pt idx="0">
                  <c:v>348805.07479999989</c:v>
                </c:pt>
                <c:pt idx="1">
                  <c:v>104138.99329999999</c:v>
                </c:pt>
                <c:pt idx="2">
                  <c:v>66839.325000000012</c:v>
                </c:pt>
                <c:pt idx="3">
                  <c:v>70989.717300000004</c:v>
                </c:pt>
                <c:pt idx="4">
                  <c:v>48382.360499999995</c:v>
                </c:pt>
                <c:pt idx="5">
                  <c:v>26540.209600000006</c:v>
                </c:pt>
                <c:pt idx="6">
                  <c:v>24711.454499999996</c:v>
                </c:pt>
                <c:pt idx="7">
                  <c:v>18304.122599999995</c:v>
                </c:pt>
                <c:pt idx="8">
                  <c:v>11428.394199999997</c:v>
                </c:pt>
                <c:pt idx="9">
                  <c:v>9052.2618999999977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D-45D7-9A0C-F2BFAB29A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776800"/>
        <c:axId val="259554000"/>
      </c:barChart>
      <c:catAx>
        <c:axId val="49277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59554000"/>
        <c:crosses val="autoZero"/>
        <c:auto val="1"/>
        <c:lblAlgn val="ctr"/>
        <c:lblOffset val="100"/>
        <c:noMultiLvlLbl val="0"/>
      </c:catAx>
      <c:valAx>
        <c:axId val="25955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49277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</xdr:colOff>
      <xdr:row>0</xdr:row>
      <xdr:rowOff>114300</xdr:rowOff>
    </xdr:from>
    <xdr:to>
      <xdr:col>10</xdr:col>
      <xdr:colOff>3810</xdr:colOff>
      <xdr:row>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F20E61-6FEB-2D61-2C8F-90527FB9C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</xdr:row>
      <xdr:rowOff>281940</xdr:rowOff>
    </xdr:from>
    <xdr:to>
      <xdr:col>10</xdr:col>
      <xdr:colOff>11430</xdr:colOff>
      <xdr:row>12</xdr:row>
      <xdr:rowOff>281940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47C83C-B4E1-9E1F-9924-67E015CAF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</xdr:colOff>
      <xdr:row>3</xdr:row>
      <xdr:rowOff>228600</xdr:rowOff>
    </xdr:from>
    <xdr:to>
      <xdr:col>9</xdr:col>
      <xdr:colOff>575310</xdr:colOff>
      <xdr:row>12</xdr:row>
      <xdr:rowOff>228600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4B66E0-4DBE-1B4C-87F3-0E5A10F81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45720</xdr:rowOff>
    </xdr:from>
    <xdr:to>
      <xdr:col>4</xdr:col>
      <xdr:colOff>1341120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65E0C8-4619-4644-9AFF-E33EE099F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19</xdr:row>
      <xdr:rowOff>45720</xdr:rowOff>
    </xdr:from>
    <xdr:to>
      <xdr:col>8</xdr:col>
      <xdr:colOff>7620</xdr:colOff>
      <xdr:row>29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E6FF2F-6D15-4867-8F48-91B0C902C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624840</xdr:colOff>
      <xdr:row>6</xdr:row>
      <xdr:rowOff>15240</xdr:rowOff>
    </xdr:from>
    <xdr:to>
      <xdr:col>10</xdr:col>
      <xdr:colOff>640080</xdr:colOff>
      <xdr:row>17</xdr:row>
      <xdr:rowOff>15240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541E75-1F57-DB8E-3BA3-142A0B7B8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80760" y="2270760"/>
          <a:ext cx="5684520" cy="33528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3.508577314817" createdVersion="8" refreshedVersion="8" minRefreshableVersion="3" recordCount="100" xr:uid="{51C7A2A6-EF28-473E-95D4-18FF754792A5}">
  <cacheSource type="worksheet">
    <worksheetSource name="Table1"/>
  </cacheSource>
  <cacheFields count="12">
    <cacheField name="Order ID" numFmtId="0">
      <sharedItems/>
    </cacheField>
    <cacheField name="Order Date" numFmtId="0">
      <sharedItems/>
    </cacheField>
    <cacheField name="Product" numFmtId="0">
      <sharedItems count="10">
        <s v="Monitor"/>
        <s v="Laptop"/>
        <s v="SSD 1TB"/>
        <s v="Keyboard"/>
        <s v="Office Chair"/>
        <s v="Mouse"/>
        <s v="Router"/>
        <s v="Printer"/>
        <s v="Headset"/>
        <s v="Webcam"/>
      </sharedItems>
    </cacheField>
    <cacheField name="Category" numFmtId="0">
      <sharedItems count="6">
        <s v="Electronics"/>
        <s v="Storage"/>
        <s v="Accessories"/>
        <s v="Furniture"/>
        <s v="Networking"/>
        <s v="Office Equipment"/>
      </sharedItems>
    </cacheField>
    <cacheField name="Region" numFmtId="0">
      <sharedItems count="4">
        <s v="North"/>
        <s v="South"/>
        <s v="West"/>
        <s v="East"/>
      </sharedItems>
    </cacheField>
    <cacheField name="Salesperson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minValue="860.35" maxValue="58326.48"/>
    </cacheField>
    <cacheField name="Discount" numFmtId="9">
      <sharedItems containsSemiMixedTypes="0" containsString="0" containsNumber="1" minValue="0" maxValue="0.15"/>
    </cacheField>
    <cacheField name="Total Sales" numFmtId="0">
      <sharedItems containsSemiMixedTypes="0" containsString="0" containsNumber="1" minValue="826.149" maxValue="396180.576"/>
    </cacheField>
    <cacheField name="Profit" numFmtId="0">
      <sharedItems containsSemiMixedTypes="0" containsString="0" containsNumber="1" minValue="68.035799999999881" maxValue="71451.929999999993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01"/>
    <s v="27-02-2026"/>
    <x v="0"/>
    <x v="0"/>
    <x v="0"/>
    <s v="Neha"/>
    <n v="1"/>
    <n v="18695.669999999998"/>
    <n v="0.02"/>
    <n v="18321.756599999997"/>
    <n v="3739.1339999999982"/>
    <s v="Bank Transfer"/>
  </r>
  <r>
    <s v="ORD0002"/>
    <s v="10-05-2026"/>
    <x v="1"/>
    <x v="0"/>
    <x v="1"/>
    <s v="Karan"/>
    <n v="1"/>
    <n v="51424.52"/>
    <n v="0.02"/>
    <n v="50396.029599999994"/>
    <n v="10284.903999999995"/>
    <s v="Credit Card"/>
  </r>
  <r>
    <s v="ORD0003"/>
    <s v="14-07-2026"/>
    <x v="2"/>
    <x v="1"/>
    <x v="2"/>
    <s v="Ananya"/>
    <n v="5"/>
    <n v="6821.81"/>
    <n v="0"/>
    <n v="34109.050000000003"/>
    <n v="7503.9909999999982"/>
    <s v="Debit Card"/>
  </r>
  <r>
    <s v="ORD0004"/>
    <s v="27-01-2026"/>
    <x v="3"/>
    <x v="2"/>
    <x v="0"/>
    <s v="Ananya"/>
    <n v="4"/>
    <n v="1931.68"/>
    <n v="0.05"/>
    <n v="7340.384"/>
    <n v="1313.5423999999994"/>
    <s v="Debit Card"/>
  </r>
  <r>
    <s v="ORD0005"/>
    <s v="28-04-2026"/>
    <x v="4"/>
    <x v="3"/>
    <x v="2"/>
    <s v="Neha"/>
    <n v="5"/>
    <n v="8917.69"/>
    <n v="0.15"/>
    <n v="37900.182500000003"/>
    <n v="3121.1915000000008"/>
    <s v="Debit Card"/>
  </r>
  <r>
    <s v="ORD0006"/>
    <s v="18-01-2026"/>
    <x v="4"/>
    <x v="3"/>
    <x v="1"/>
    <s v="Vikram"/>
    <n v="6"/>
    <n v="8605.2000000000007"/>
    <n v="0.15"/>
    <n v="43886.520000000004"/>
    <n v="3614.1840000000011"/>
    <s v="UPI"/>
  </r>
  <r>
    <s v="ORD0007"/>
    <s v="12-06-2026"/>
    <x v="5"/>
    <x v="2"/>
    <x v="1"/>
    <s v="Ananya"/>
    <n v="2"/>
    <n v="882.74"/>
    <n v="0.08"/>
    <n v="1624.2416000000001"/>
    <n v="247.16720000000009"/>
    <s v="Debit Card"/>
  </r>
  <r>
    <s v="ORD0008"/>
    <s v="15-06-2026"/>
    <x v="5"/>
    <x v="2"/>
    <x v="1"/>
    <s v="Priya"/>
    <n v="5"/>
    <n v="929.06"/>
    <n v="0.15"/>
    <n v="3948.5049999999992"/>
    <n v="325.17099999999982"/>
    <s v="Credit Card"/>
  </r>
  <r>
    <s v="ORD0009"/>
    <s v="26-06-2026"/>
    <x v="2"/>
    <x v="1"/>
    <x v="3"/>
    <s v="Aarav"/>
    <n v="7"/>
    <n v="6260.75"/>
    <n v="0.15"/>
    <n v="37251.462500000001"/>
    <n v="3067.7675000000017"/>
    <s v="Credit Card"/>
  </r>
  <r>
    <s v="ORD0010"/>
    <s v="24-02-2026"/>
    <x v="1"/>
    <x v="0"/>
    <x v="3"/>
    <s v="Priya"/>
    <n v="6"/>
    <n v="54130.25"/>
    <n v="0"/>
    <n v="324781.5"/>
    <n v="71451.929999999993"/>
    <s v="Bank Transfer"/>
  </r>
  <r>
    <s v="ORD0011"/>
    <s v="05-03-2026"/>
    <x v="6"/>
    <x v="4"/>
    <x v="3"/>
    <s v="Karan"/>
    <n v="8"/>
    <n v="3300.01"/>
    <n v="0.02"/>
    <n v="25872.078400000002"/>
    <n v="5280.0159999999996"/>
    <s v="Bank Transfer"/>
  </r>
  <r>
    <s v="ORD0012"/>
    <s v="11-05-2026"/>
    <x v="7"/>
    <x v="5"/>
    <x v="0"/>
    <s v="Neha"/>
    <n v="4"/>
    <n v="13494.65"/>
    <n v="0.02"/>
    <n v="52899.027999999998"/>
    <n v="10795.720000000001"/>
    <s v="Credit Card"/>
  </r>
  <r>
    <s v="ORD0013"/>
    <s v="08-04-2026"/>
    <x v="3"/>
    <x v="2"/>
    <x v="2"/>
    <s v="Vikram"/>
    <n v="7"/>
    <n v="1827.77"/>
    <n v="0.08"/>
    <n v="11770.8388"/>
    <n v="1791.2145999999993"/>
    <s v="UPI"/>
  </r>
  <r>
    <s v="ORD0014"/>
    <s v="29-01-2026"/>
    <x v="0"/>
    <x v="0"/>
    <x v="1"/>
    <s v="Sneha"/>
    <n v="5"/>
    <n v="18773.560000000001"/>
    <n v="0.05"/>
    <n v="89174.41"/>
    <n v="15957.525999999998"/>
    <s v="UPI"/>
  </r>
  <r>
    <s v="ORD0015"/>
    <s v="11-08-2026"/>
    <x v="8"/>
    <x v="2"/>
    <x v="1"/>
    <s v="Rohan"/>
    <n v="3"/>
    <n v="2202.6999999999998"/>
    <n v="0"/>
    <n v="6608.0999999999995"/>
    <n v="1453.7820000000002"/>
    <s v="Debit Card"/>
  </r>
  <r>
    <s v="ORD0016"/>
    <s v="05-01-2026"/>
    <x v="3"/>
    <x v="2"/>
    <x v="3"/>
    <s v="Vikram"/>
    <n v="1"/>
    <n v="1828.5"/>
    <n v="0.08"/>
    <n v="1682.22"/>
    <n v="255.99"/>
    <s v="Credit Card"/>
  </r>
  <r>
    <s v="ORD0017"/>
    <s v="22-01-2026"/>
    <x v="1"/>
    <x v="0"/>
    <x v="0"/>
    <s v="Rohan"/>
    <n v="4"/>
    <n v="58326.48"/>
    <n v="0"/>
    <n v="233305.92"/>
    <n v="51327.302399999986"/>
    <s v="Credit Card"/>
  </r>
  <r>
    <s v="ORD0018"/>
    <s v="19-04-2026"/>
    <x v="2"/>
    <x v="1"/>
    <x v="1"/>
    <s v="Vikram"/>
    <n v="3"/>
    <n v="6255.66"/>
    <n v="0.1"/>
    <n v="16890.281999999999"/>
    <n v="2252.0375999999997"/>
    <s v="Bank Transfer"/>
  </r>
  <r>
    <s v="ORD0019"/>
    <s v="31-01-2026"/>
    <x v="7"/>
    <x v="5"/>
    <x v="0"/>
    <s v="Ananya"/>
    <n v="8"/>
    <n v="13299.23"/>
    <n v="0.08"/>
    <n v="97882.332800000004"/>
    <n v="14895.137600000002"/>
    <s v="UPI"/>
  </r>
  <r>
    <s v="ORD0020"/>
    <s v="19-01-2026"/>
    <x v="4"/>
    <x v="3"/>
    <x v="0"/>
    <s v="Priya"/>
    <n v="4"/>
    <n v="8620.2800000000007"/>
    <n v="0"/>
    <n v="34481.120000000003"/>
    <n v="7585.8463999999985"/>
    <s v="UPI"/>
  </r>
  <r>
    <s v="ORD0021"/>
    <s v="13-03-2026"/>
    <x v="1"/>
    <x v="0"/>
    <x v="1"/>
    <s v="Rohan"/>
    <n v="6"/>
    <n v="51223.54"/>
    <n v="0.02"/>
    <n v="301194.41519999999"/>
    <n v="61468.247999999992"/>
    <s v="Bank Transfer"/>
  </r>
  <r>
    <s v="ORD0022"/>
    <s v="25-01-2026"/>
    <x v="5"/>
    <x v="2"/>
    <x v="2"/>
    <s v="Ananya"/>
    <n v="8"/>
    <n v="944.28"/>
    <n v="0.02"/>
    <n v="7403.1551999999992"/>
    <n v="1510.847999999999"/>
    <s v="Bank Transfer"/>
  </r>
  <r>
    <s v="ORD0023"/>
    <s v="22-06-2026"/>
    <x v="6"/>
    <x v="4"/>
    <x v="0"/>
    <s v="Aarav"/>
    <n v="8"/>
    <n v="3703.75"/>
    <n v="0"/>
    <n v="29630"/>
    <n v="6518.5999999999985"/>
    <s v="Bank Transfer"/>
  </r>
  <r>
    <s v="ORD0024"/>
    <s v="18-05-2026"/>
    <x v="7"/>
    <x v="5"/>
    <x v="2"/>
    <s v="Rohan"/>
    <n v="2"/>
    <n v="11997.31"/>
    <n v="0.02"/>
    <n v="23514.727599999998"/>
    <n v="4798.9239999999991"/>
    <s v="Debit Card"/>
  </r>
  <r>
    <s v="ORD0025"/>
    <s v="24-04-2026"/>
    <x v="2"/>
    <x v="1"/>
    <x v="0"/>
    <s v="Aarav"/>
    <n v="4"/>
    <n v="6889.47"/>
    <n v="0"/>
    <n v="27557.88"/>
    <n v="6062.7335999999996"/>
    <s v="UPI"/>
  </r>
  <r>
    <s v="ORD0026"/>
    <s v="04-05-2026"/>
    <x v="0"/>
    <x v="0"/>
    <x v="2"/>
    <s v="Aarav"/>
    <n v="4"/>
    <n v="17038.98"/>
    <n v="0.08"/>
    <n v="62703.446400000001"/>
    <n v="9541.828800000003"/>
    <s v="Credit Card"/>
  </r>
  <r>
    <s v="ORD0027"/>
    <s v="26-08-2026"/>
    <x v="6"/>
    <x v="4"/>
    <x v="2"/>
    <s v="Vikram"/>
    <n v="1"/>
    <n v="3771.77"/>
    <n v="0.05"/>
    <n v="3583.1814999999997"/>
    <n v="641.20089999999982"/>
    <s v="Bank Transfer"/>
  </r>
  <r>
    <s v="ORD0028"/>
    <s v="25-02-2026"/>
    <x v="9"/>
    <x v="0"/>
    <x v="0"/>
    <s v="Ananya"/>
    <n v="8"/>
    <n v="3023.26"/>
    <n v="0.05"/>
    <n v="22976.776000000002"/>
    <n v="4111.633600000001"/>
    <s v="UPI"/>
  </r>
  <r>
    <s v="ORD0029"/>
    <s v="10-02-2026"/>
    <x v="1"/>
    <x v="0"/>
    <x v="0"/>
    <s v="Rohan"/>
    <n v="8"/>
    <n v="55025.08"/>
    <n v="0.1"/>
    <n v="396180.576"/>
    <n v="52824.076799999981"/>
    <s v="UPI"/>
  </r>
  <r>
    <s v="ORD0030"/>
    <s v="14-04-2026"/>
    <x v="4"/>
    <x v="3"/>
    <x v="1"/>
    <s v="Aarav"/>
    <n v="2"/>
    <n v="8738.2900000000009"/>
    <n v="0.02"/>
    <n v="17127.0484"/>
    <n v="3495.3159999999971"/>
    <s v="UPI"/>
  </r>
  <r>
    <s v="ORD0031"/>
    <s v="21-06-2026"/>
    <x v="6"/>
    <x v="4"/>
    <x v="1"/>
    <s v="Vikram"/>
    <n v="6"/>
    <n v="3743.44"/>
    <n v="0.02"/>
    <n v="22011.427199999998"/>
    <n v="4492.127999999997"/>
    <s v="Bank Transfer"/>
  </r>
  <r>
    <s v="ORD0032"/>
    <s v="03-01-2026"/>
    <x v="3"/>
    <x v="2"/>
    <x v="0"/>
    <s v="Neha"/>
    <n v="5"/>
    <n v="1787.68"/>
    <n v="0"/>
    <n v="8938.4"/>
    <n v="1966.4479999999994"/>
    <s v="Credit Card"/>
  </r>
  <r>
    <s v="ORD0033"/>
    <s v="14-08-2026"/>
    <x v="9"/>
    <x v="0"/>
    <x v="1"/>
    <s v="Ananya"/>
    <n v="5"/>
    <n v="3011.82"/>
    <n v="0.05"/>
    <n v="14306.145"/>
    <n v="2560.0470000000005"/>
    <s v="Debit Card"/>
  </r>
  <r>
    <s v="ORD0034"/>
    <s v="19-03-2026"/>
    <x v="3"/>
    <x v="2"/>
    <x v="0"/>
    <s v="Vikram"/>
    <n v="8"/>
    <n v="1896.12"/>
    <n v="0.15"/>
    <n v="12893.615999999998"/>
    <n v="1061.8271999999979"/>
    <s v="UPI"/>
  </r>
  <r>
    <s v="ORD0035"/>
    <s v="10-07-2026"/>
    <x v="3"/>
    <x v="2"/>
    <x v="3"/>
    <s v="Vikram"/>
    <n v="5"/>
    <n v="1689.24"/>
    <n v="0"/>
    <n v="8446.2000000000007"/>
    <n v="1858.1639999999998"/>
    <s v="Credit Card"/>
  </r>
  <r>
    <s v="ORD0036"/>
    <s v="10-05-2026"/>
    <x v="7"/>
    <x v="5"/>
    <x v="0"/>
    <s v="Neha"/>
    <n v="4"/>
    <n v="12874.99"/>
    <n v="0.05"/>
    <n v="48924.962"/>
    <n v="8754.9931999999972"/>
    <s v="Bank Transfer"/>
  </r>
  <r>
    <s v="ORD0037"/>
    <s v="13-06-2026"/>
    <x v="8"/>
    <x v="2"/>
    <x v="1"/>
    <s v="Sneha"/>
    <n v="1"/>
    <n v="2025.25"/>
    <n v="0.02"/>
    <n v="1984.7449999999999"/>
    <n v="405.04999999999973"/>
    <s v="Bank Transfer"/>
  </r>
  <r>
    <s v="ORD0038"/>
    <s v="20-08-2026"/>
    <x v="9"/>
    <x v="0"/>
    <x v="0"/>
    <s v="Ananya"/>
    <n v="1"/>
    <n v="3001.28"/>
    <n v="0.15"/>
    <n v="2551.0880000000002"/>
    <n v="210.08959999999979"/>
    <s v="Credit Card"/>
  </r>
  <r>
    <s v="ORD0039"/>
    <s v="19-08-2026"/>
    <x v="6"/>
    <x v="4"/>
    <x v="0"/>
    <s v="Ananya"/>
    <n v="3"/>
    <n v="3243.42"/>
    <n v="0.05"/>
    <n v="9243.7469999999994"/>
    <n v="1654.1441999999988"/>
    <s v="Credit Card"/>
  </r>
  <r>
    <s v="ORD0040"/>
    <s v="15-08-2026"/>
    <x v="5"/>
    <x v="2"/>
    <x v="1"/>
    <s v="Priya"/>
    <n v="2"/>
    <n v="878.93"/>
    <n v="0.1"/>
    <n v="1582.0739999999998"/>
    <n v="210.94319999999993"/>
    <s v="Credit Card"/>
  </r>
  <r>
    <s v="ORD0041"/>
    <s v="25-08-2026"/>
    <x v="3"/>
    <x v="2"/>
    <x v="2"/>
    <s v="Priya"/>
    <n v="7"/>
    <n v="1663.14"/>
    <n v="0.15"/>
    <n v="9895.6830000000009"/>
    <n v="814.9385999999995"/>
    <s v="Debit Card"/>
  </r>
  <r>
    <s v="ORD0042"/>
    <s v="08-08-2026"/>
    <x v="3"/>
    <x v="2"/>
    <x v="1"/>
    <s v="Sneha"/>
    <n v="2"/>
    <n v="1766.17"/>
    <n v="0"/>
    <n v="3532.34"/>
    <n v="777.11479999999983"/>
    <s v="Debit Card"/>
  </r>
  <r>
    <s v="ORD0043"/>
    <s v="19-02-2026"/>
    <x v="8"/>
    <x v="2"/>
    <x v="3"/>
    <s v="Neha"/>
    <n v="4"/>
    <n v="2102.4699999999998"/>
    <n v="0.15"/>
    <n v="7148.3979999999992"/>
    <n v="588.6915999999992"/>
    <s v="Debit Card"/>
  </r>
  <r>
    <s v="ORD0044"/>
    <s v="26-03-2026"/>
    <x v="7"/>
    <x v="5"/>
    <x v="0"/>
    <s v="Vikram"/>
    <n v="7"/>
    <n v="12859.04"/>
    <n v="0.1"/>
    <n v="81011.952000000005"/>
    <n v="10801.593600000007"/>
    <s v="Credit Card"/>
  </r>
  <r>
    <s v="ORD0045"/>
    <s v="22-04-2026"/>
    <x v="4"/>
    <x v="3"/>
    <x v="3"/>
    <s v="Karan"/>
    <n v="5"/>
    <n v="7872.03"/>
    <n v="0.1"/>
    <n v="35424.135000000002"/>
    <n v="4723.2180000000008"/>
    <s v="UPI"/>
  </r>
  <r>
    <s v="ORD0046"/>
    <s v="22-04-2026"/>
    <x v="6"/>
    <x v="4"/>
    <x v="1"/>
    <s v="Ananya"/>
    <n v="4"/>
    <n v="3362.64"/>
    <n v="0.15"/>
    <n v="11432.975999999999"/>
    <n v="941.53919999999925"/>
    <s v="Bank Transfer"/>
  </r>
  <r>
    <s v="ORD0047"/>
    <s v="06-08-2026"/>
    <x v="0"/>
    <x v="0"/>
    <x v="3"/>
    <s v="Vikram"/>
    <n v="6"/>
    <n v="18354.689999999999"/>
    <n v="0.15"/>
    <n v="93608.91899999998"/>
    <n v="7708.9697999999917"/>
    <s v="Bank Transfer"/>
  </r>
  <r>
    <s v="ORD0048"/>
    <s v="02-02-2026"/>
    <x v="7"/>
    <x v="5"/>
    <x v="2"/>
    <s v="Rohan"/>
    <n v="7"/>
    <n v="12894.42"/>
    <n v="0.1"/>
    <n v="81234.846000000005"/>
    <n v="10831.3128"/>
    <s v="Debit Card"/>
  </r>
  <r>
    <s v="ORD0049"/>
    <s v="21-04-2026"/>
    <x v="6"/>
    <x v="4"/>
    <x v="3"/>
    <s v="Sneha"/>
    <n v="1"/>
    <n v="3390.17"/>
    <n v="0.02"/>
    <n v="3322.3665999999998"/>
    <n v="678.03399999999965"/>
    <s v="Bank Transfer"/>
  </r>
  <r>
    <s v="ORD0050"/>
    <s v="13-02-2026"/>
    <x v="2"/>
    <x v="1"/>
    <x v="3"/>
    <s v="Ananya"/>
    <n v="4"/>
    <n v="6511.62"/>
    <n v="0.15"/>
    <n v="22139.507999999998"/>
    <n v="1823.2535999999964"/>
    <s v="UPI"/>
  </r>
  <r>
    <s v="ORD0051"/>
    <s v="07-02-2026"/>
    <x v="5"/>
    <x v="2"/>
    <x v="1"/>
    <s v="Sneha"/>
    <n v="5"/>
    <n v="860.35"/>
    <n v="0.02"/>
    <n v="4215.7150000000001"/>
    <n v="860.34999999999991"/>
    <s v="UPI"/>
  </r>
  <r>
    <s v="ORD0052"/>
    <s v="19-02-2026"/>
    <x v="2"/>
    <x v="1"/>
    <x v="2"/>
    <s v="Sneha"/>
    <n v="7"/>
    <n v="6901.58"/>
    <n v="0.1"/>
    <n v="43479.953999999998"/>
    <n v="5797.3271999999997"/>
    <s v="Bank Transfer"/>
  </r>
  <r>
    <s v="ORD0053"/>
    <s v="17-08-2026"/>
    <x v="5"/>
    <x v="2"/>
    <x v="0"/>
    <s v="Karan"/>
    <n v="3"/>
    <n v="922.47"/>
    <n v="0"/>
    <n v="2767.41"/>
    <n v="608.83019999999988"/>
    <s v="Credit Card"/>
  </r>
  <r>
    <s v="ORD0054"/>
    <s v="23-08-2026"/>
    <x v="3"/>
    <x v="2"/>
    <x v="2"/>
    <s v="Rohan"/>
    <n v="8"/>
    <n v="1670.46"/>
    <n v="0.02"/>
    <n v="13096.4064"/>
    <n v="2672.735999999999"/>
    <s v="Bank Transfer"/>
  </r>
  <r>
    <s v="ORD0055"/>
    <s v="06-06-2026"/>
    <x v="9"/>
    <x v="0"/>
    <x v="2"/>
    <s v="Sneha"/>
    <n v="6"/>
    <n v="3430.42"/>
    <n v="0.08"/>
    <n v="18935.918400000002"/>
    <n v="2881.5528000000013"/>
    <s v="Credit Card"/>
  </r>
  <r>
    <s v="ORD0056"/>
    <s v="04-08-2026"/>
    <x v="2"/>
    <x v="1"/>
    <x v="2"/>
    <s v="Priya"/>
    <n v="8"/>
    <n v="6249.56"/>
    <n v="0.02"/>
    <n v="48996.5504"/>
    <n v="9999.2959999999948"/>
    <s v="Debit Card"/>
  </r>
  <r>
    <s v="ORD0057"/>
    <s v="11-03-2026"/>
    <x v="2"/>
    <x v="1"/>
    <x v="0"/>
    <s v="Rohan"/>
    <n v="2"/>
    <n v="6722.09"/>
    <n v="0.02"/>
    <n v="13175.296399999999"/>
    <n v="2688.8359999999993"/>
    <s v="Credit Card"/>
  </r>
  <r>
    <s v="ORD0058"/>
    <s v="24-02-2026"/>
    <x v="5"/>
    <x v="2"/>
    <x v="2"/>
    <s v="Ananya"/>
    <n v="7"/>
    <n v="927.93"/>
    <n v="0.15"/>
    <n v="5521.1834999999992"/>
    <n v="454.6857"/>
    <s v="Bank Transfer"/>
  </r>
  <r>
    <s v="ORD0059"/>
    <s v="10-04-2026"/>
    <x v="6"/>
    <x v="4"/>
    <x v="0"/>
    <s v="Karan"/>
    <n v="1"/>
    <n v="3335.83"/>
    <n v="0.08"/>
    <n v="3068.9636"/>
    <n v="467.01620000000003"/>
    <s v="Bank Transfer"/>
  </r>
  <r>
    <s v="ORD0060"/>
    <s v="07-08-2026"/>
    <x v="1"/>
    <x v="0"/>
    <x v="2"/>
    <s v="Priya"/>
    <n v="6"/>
    <n v="53227.79"/>
    <n v="0.08"/>
    <n v="293817.4008"/>
    <n v="44711.343599999993"/>
    <s v="Bank Transfer"/>
  </r>
  <r>
    <s v="ORD0061"/>
    <s v="10-04-2026"/>
    <x v="5"/>
    <x v="2"/>
    <x v="2"/>
    <s v="Rohan"/>
    <n v="5"/>
    <n v="890.76"/>
    <n v="0"/>
    <n v="4453.8"/>
    <n v="979.83599999999979"/>
    <s v="Bank Transfer"/>
  </r>
  <r>
    <s v="ORD0062"/>
    <s v="25-05-2026"/>
    <x v="3"/>
    <x v="2"/>
    <x v="0"/>
    <s v="Karan"/>
    <n v="1"/>
    <n v="1917.2"/>
    <n v="0.1"/>
    <n v="1725.48"/>
    <n v="230.06399999999985"/>
    <s v="Credit Card"/>
  </r>
  <r>
    <s v="ORD0063"/>
    <s v="25-03-2026"/>
    <x v="2"/>
    <x v="1"/>
    <x v="3"/>
    <s v="Ananya"/>
    <n v="3"/>
    <n v="6032.3"/>
    <n v="0.08"/>
    <n v="16649.148000000001"/>
    <n v="2533.5659999999989"/>
    <s v="Bank Transfer"/>
  </r>
  <r>
    <s v="ORD0064"/>
    <s v="01-05-2026"/>
    <x v="8"/>
    <x v="2"/>
    <x v="0"/>
    <s v="Ananya"/>
    <n v="7"/>
    <n v="2112.8000000000002"/>
    <n v="0"/>
    <n v="14789.600000000002"/>
    <n v="3253.7119999999995"/>
    <s v="Credit Card"/>
  </r>
  <r>
    <s v="ORD0065"/>
    <s v="21-02-2026"/>
    <x v="0"/>
    <x v="0"/>
    <x v="1"/>
    <s v="Priya"/>
    <n v="1"/>
    <n v="18732.189999999999"/>
    <n v="0.02"/>
    <n v="18357.546199999997"/>
    <n v="3746.4379999999983"/>
    <s v="Credit Card"/>
  </r>
  <r>
    <s v="ORD0066"/>
    <s v="30-04-2026"/>
    <x v="2"/>
    <x v="1"/>
    <x v="3"/>
    <s v="Rohan"/>
    <n v="2"/>
    <n v="6566.53"/>
    <n v="0.02"/>
    <n v="12870.398799999999"/>
    <n v="2626.6119999999992"/>
    <s v="UPI"/>
  </r>
  <r>
    <s v="ORD0067"/>
    <s v="26-08-2026"/>
    <x v="3"/>
    <x v="2"/>
    <x v="2"/>
    <s v="Karan"/>
    <n v="5"/>
    <n v="1687.13"/>
    <n v="0"/>
    <n v="8435.6500000000015"/>
    <n v="1855.8429999999998"/>
    <s v="Credit Card"/>
  </r>
  <r>
    <s v="ORD0068"/>
    <s v="06-08-2026"/>
    <x v="0"/>
    <x v="0"/>
    <x v="0"/>
    <s v="Aarav"/>
    <n v="4"/>
    <n v="16853.48"/>
    <n v="0.05"/>
    <n v="64043.223999999995"/>
    <n v="11460.366399999992"/>
    <s v="Debit Card"/>
  </r>
  <r>
    <s v="ORD0069"/>
    <s v="10-05-2026"/>
    <x v="9"/>
    <x v="0"/>
    <x v="0"/>
    <s v="Karan"/>
    <n v="7"/>
    <n v="3282.7"/>
    <n v="0"/>
    <n v="22978.899999999998"/>
    <n v="5055.3580000000002"/>
    <s v="Bank Transfer"/>
  </r>
  <r>
    <s v="ORD0070"/>
    <s v="17-08-2026"/>
    <x v="0"/>
    <x v="0"/>
    <x v="1"/>
    <s v="Karan"/>
    <n v="7"/>
    <n v="19327.07"/>
    <n v="0.15"/>
    <n v="114996.06649999999"/>
    <n v="9470.2642999999953"/>
    <s v="Credit Card"/>
  </r>
  <r>
    <s v="ORD0071"/>
    <s v="18-07-2026"/>
    <x v="9"/>
    <x v="0"/>
    <x v="2"/>
    <s v="Vikram"/>
    <n v="5"/>
    <n v="3259.35"/>
    <n v="0.1"/>
    <n v="14667.075000000001"/>
    <n v="1955.6100000000006"/>
    <s v="Debit Card"/>
  </r>
  <r>
    <s v="ORD0072"/>
    <s v="04-03-2026"/>
    <x v="5"/>
    <x v="2"/>
    <x v="2"/>
    <s v="Ananya"/>
    <n v="2"/>
    <n v="868.17"/>
    <n v="0.08"/>
    <n v="1597.4328"/>
    <n v="243.08760000000007"/>
    <s v="UPI"/>
  </r>
  <r>
    <s v="ORD0073"/>
    <s v="01-04-2026"/>
    <x v="2"/>
    <x v="1"/>
    <x v="3"/>
    <s v="Vikram"/>
    <n v="6"/>
    <n v="6169.11"/>
    <n v="0.02"/>
    <n v="36274.366799999996"/>
    <n v="7402.9319999999971"/>
    <s v="Debit Card"/>
  </r>
  <r>
    <s v="ORD0074"/>
    <s v="22-01-2026"/>
    <x v="9"/>
    <x v="0"/>
    <x v="2"/>
    <s v="Sneha"/>
    <n v="1"/>
    <n v="3208.51"/>
    <n v="0.02"/>
    <n v="3144.3398000000002"/>
    <n v="641.70199999999977"/>
    <s v="Credit Card"/>
  </r>
  <r>
    <s v="ORD0075"/>
    <s v="24-01-2026"/>
    <x v="2"/>
    <x v="1"/>
    <x v="2"/>
    <s v="Priya"/>
    <n v="8"/>
    <n v="6446.1"/>
    <n v="0"/>
    <n v="51568.800000000003"/>
    <n v="11345.135999999999"/>
    <s v="Debit Card"/>
  </r>
  <r>
    <s v="ORD0076"/>
    <s v="30-03-2026"/>
    <x v="4"/>
    <x v="3"/>
    <x v="3"/>
    <s v="Ananya"/>
    <n v="6"/>
    <n v="8463.6299999999992"/>
    <n v="0.1"/>
    <n v="45703.601999999999"/>
    <n v="6093.8136000000013"/>
    <s v="Bank Transfer"/>
  </r>
  <r>
    <s v="ORD0077"/>
    <s v="04-07-2026"/>
    <x v="8"/>
    <x v="2"/>
    <x v="0"/>
    <s v="Rohan"/>
    <n v="5"/>
    <n v="2112.4899999999998"/>
    <n v="0"/>
    <n v="10562.449999999999"/>
    <n v="2323.7389999999996"/>
    <s v="Credit Card"/>
  </r>
  <r>
    <s v="ORD0078"/>
    <s v="14-07-2026"/>
    <x v="5"/>
    <x v="2"/>
    <x v="3"/>
    <s v="Neha"/>
    <n v="8"/>
    <n v="867.82"/>
    <n v="0.1"/>
    <n v="6248.3040000000001"/>
    <n v="833.10719999999947"/>
    <s v="Credit Card"/>
  </r>
  <r>
    <s v="ORD0079"/>
    <s v="04-01-2026"/>
    <x v="8"/>
    <x v="2"/>
    <x v="1"/>
    <s v="Vikram"/>
    <n v="4"/>
    <n v="2151.0300000000002"/>
    <n v="0.05"/>
    <n v="8173.9140000000007"/>
    <n v="1462.7003999999997"/>
    <s v="UPI"/>
  </r>
  <r>
    <s v="ORD0080"/>
    <s v="13-06-2026"/>
    <x v="1"/>
    <x v="0"/>
    <x v="2"/>
    <s v="Neha"/>
    <n v="5"/>
    <n v="56737.27"/>
    <n v="0.02"/>
    <n v="278012.62299999996"/>
    <n v="56737.26999999996"/>
    <s v="UPI"/>
  </r>
  <r>
    <s v="ORD0081"/>
    <s v="29-03-2026"/>
    <x v="4"/>
    <x v="3"/>
    <x v="0"/>
    <s v="Vikram"/>
    <n v="5"/>
    <n v="8458.3799999999992"/>
    <n v="0.08"/>
    <n v="38908.547999999995"/>
    <n v="5920.8660000000018"/>
    <s v="Bank Transfer"/>
  </r>
  <r>
    <s v="ORD0082"/>
    <s v="28-05-2026"/>
    <x v="0"/>
    <x v="0"/>
    <x v="0"/>
    <s v="Rohan"/>
    <n v="2"/>
    <n v="17714.04"/>
    <n v="0"/>
    <n v="35428.080000000002"/>
    <n v="7794.1775999999991"/>
    <s v="Credit Card"/>
  </r>
  <r>
    <s v="ORD0083"/>
    <s v="31-01-2026"/>
    <x v="4"/>
    <x v="3"/>
    <x v="2"/>
    <s v="Priya"/>
    <n v="5"/>
    <n v="7935.85"/>
    <n v="0.02"/>
    <n v="38885.665000000001"/>
    <n v="7935.8499999999985"/>
    <s v="Bank Transfer"/>
  </r>
  <r>
    <s v="ORD0084"/>
    <s v="20-04-2026"/>
    <x v="2"/>
    <x v="1"/>
    <x v="0"/>
    <s v="Neha"/>
    <n v="8"/>
    <n v="6289.25"/>
    <n v="0.1"/>
    <n v="45282.6"/>
    <n v="6037.68"/>
    <s v="Credit Card"/>
  </r>
  <r>
    <s v="ORD0085"/>
    <s v="03-03-2026"/>
    <x v="5"/>
    <x v="2"/>
    <x v="0"/>
    <s v="Rohan"/>
    <n v="5"/>
    <n v="923.1"/>
    <n v="0.02"/>
    <n v="4523.1899999999996"/>
    <n v="923.09999999999945"/>
    <s v="UPI"/>
  </r>
  <r>
    <s v="ORD0086"/>
    <s v="16-03-2026"/>
    <x v="6"/>
    <x v="4"/>
    <x v="3"/>
    <s v="Vikram"/>
    <n v="8"/>
    <n v="3606.05"/>
    <n v="0.08"/>
    <n v="26540.528000000002"/>
    <n v="4038.7760000000017"/>
    <s v="Bank Transfer"/>
  </r>
  <r>
    <s v="ORD0087"/>
    <s v="31-05-2026"/>
    <x v="0"/>
    <x v="0"/>
    <x v="1"/>
    <s v="Karan"/>
    <n v="4"/>
    <n v="19220.86"/>
    <n v="0.15"/>
    <n v="65350.923999999999"/>
    <n v="5381.8407999999981"/>
    <s v="UPI"/>
  </r>
  <r>
    <s v="ORD0088"/>
    <s v="31-07-2026"/>
    <x v="9"/>
    <x v="0"/>
    <x v="0"/>
    <s v="Rohan"/>
    <n v="4"/>
    <n v="3275.59"/>
    <n v="0.05"/>
    <n v="12447.242"/>
    <n v="2227.4012000000002"/>
    <s v="Debit Card"/>
  </r>
  <r>
    <s v="ORD0089"/>
    <s v="26-06-2026"/>
    <x v="4"/>
    <x v="3"/>
    <x v="2"/>
    <s v="Vikram"/>
    <n v="5"/>
    <n v="8417.25"/>
    <n v="0.08"/>
    <n v="38719.35"/>
    <n v="5892.0749999999971"/>
    <s v="Bank Transfer"/>
  </r>
  <r>
    <s v="ORD0090"/>
    <s v="08-07-2026"/>
    <x v="2"/>
    <x v="1"/>
    <x v="3"/>
    <s v="Aarav"/>
    <n v="2"/>
    <n v="6601.96"/>
    <n v="0.08"/>
    <n v="12147.606400000001"/>
    <n v="1848.5488000000005"/>
    <s v="UPI"/>
  </r>
  <r>
    <s v="ORD0091"/>
    <s v="30-07-2026"/>
    <x v="5"/>
    <x v="2"/>
    <x v="0"/>
    <s v="Rohan"/>
    <n v="1"/>
    <n v="971.94"/>
    <n v="0.15"/>
    <n v="826.149"/>
    <n v="68.035799999999881"/>
    <s v="Bank Transfer"/>
  </r>
  <r>
    <s v="ORD0092"/>
    <s v="30-05-2026"/>
    <x v="9"/>
    <x v="0"/>
    <x v="2"/>
    <s v="Neha"/>
    <n v="8"/>
    <n v="3413.03"/>
    <n v="0.02"/>
    <n v="26758.155200000001"/>
    <n v="5460.8479999999981"/>
    <s v="Bank Transfer"/>
  </r>
  <r>
    <s v="ORD0093"/>
    <s v="27-01-2026"/>
    <x v="7"/>
    <x v="5"/>
    <x v="3"/>
    <s v="Karan"/>
    <n v="7"/>
    <n v="12166.62"/>
    <n v="0.15"/>
    <n v="72391.38900000001"/>
    <n v="5961.6438000000053"/>
    <s v="Bank Transfer"/>
  </r>
  <r>
    <s v="ORD0094"/>
    <s v="10-01-2026"/>
    <x v="8"/>
    <x v="2"/>
    <x v="3"/>
    <s v="Vikram"/>
    <n v="7"/>
    <n v="2310.38"/>
    <n v="0.1"/>
    <n v="14555.394"/>
    <n v="1940.7191999999995"/>
    <s v="Debit Card"/>
  </r>
  <r>
    <s v="ORD0095"/>
    <s v="18-06-2026"/>
    <x v="0"/>
    <x v="0"/>
    <x v="2"/>
    <s v="Karan"/>
    <n v="7"/>
    <n v="19050.939999999999"/>
    <n v="0"/>
    <n v="133356.57999999999"/>
    <n v="29338.4476"/>
    <s v="UPI"/>
  </r>
  <r>
    <s v="ORD0096"/>
    <s v="10-06-2026"/>
    <x v="5"/>
    <x v="2"/>
    <x v="0"/>
    <s v="Priya"/>
    <n v="6"/>
    <n v="917.66"/>
    <n v="0.08"/>
    <n v="5065.4832000000006"/>
    <n v="770.83440000000064"/>
    <s v="Debit Card"/>
  </r>
  <r>
    <s v="ORD0097"/>
    <s v="14-08-2026"/>
    <x v="9"/>
    <x v="0"/>
    <x v="0"/>
    <s v="Aarav"/>
    <n v="3"/>
    <n v="3418.97"/>
    <n v="0.08"/>
    <n v="9436.3572000000004"/>
    <n v="1435.9674000000005"/>
    <s v="Credit Card"/>
  </r>
  <r>
    <s v="ORD0098"/>
    <s v="15-04-2026"/>
    <x v="3"/>
    <x v="2"/>
    <x v="0"/>
    <s v="Sneha"/>
    <n v="5"/>
    <n v="1814.64"/>
    <n v="0.1"/>
    <n v="8165.880000000001"/>
    <n v="1088.7840000000006"/>
    <s v="UPI"/>
  </r>
  <r>
    <s v="ORD0099"/>
    <s v="11-05-2026"/>
    <x v="3"/>
    <x v="2"/>
    <x v="2"/>
    <s v="Sneha"/>
    <n v="8"/>
    <n v="1924.6"/>
    <n v="0.05"/>
    <n v="14626.96"/>
    <n v="2617.4560000000001"/>
    <s v="Bank Transfer"/>
  </r>
  <r>
    <s v="ORD0100"/>
    <s v="18-02-2026"/>
    <x v="5"/>
    <x v="2"/>
    <x v="1"/>
    <s v="Neha"/>
    <n v="8"/>
    <n v="907.38"/>
    <n v="0.08"/>
    <n v="6678.3168000000005"/>
    <n v="1016.2656000000006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63E47-E3E6-4291-B99A-86963019A89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8" firstHeaderRow="0" firstDataRow="1" firstDataCol="1"/>
  <pivotFields count="12">
    <pivotField showAll="0"/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9" showAll="0"/>
    <pivotField dataField="1" showAll="0"/>
    <pivotField dataField="1" showAll="0"/>
    <pivotField showAll="0"/>
  </pivotFields>
  <rowFields count="1">
    <field x="4"/>
  </rowFields>
  <rowItems count="5">
    <i>
      <x v="1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/>
    <dataField name="Sum of Profit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6C25D-914C-4E29-84D9-9D5926DBC2E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4" firstHeaderRow="0" firstDataRow="1" firstDataCol="1"/>
  <pivotFields count="12">
    <pivotField showAll="0"/>
    <pivotField showAll="0"/>
    <pivotField axis="axisRow" showAll="0" sortType="descending">
      <items count="11">
        <item x="8"/>
        <item x="3"/>
        <item x="1"/>
        <item x="0"/>
        <item x="5"/>
        <item x="4"/>
        <item x="7"/>
        <item x="6"/>
        <item x="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9" showAll="0"/>
    <pivotField dataField="1" showAll="0"/>
    <pivotField dataField="1" showAll="0"/>
    <pivotField showAll="0"/>
  </pivotFields>
  <rowFields count="1">
    <field x="2"/>
  </rowFields>
  <rowItems count="11">
    <i>
      <x v="2"/>
    </i>
    <i>
      <x v="3"/>
    </i>
    <i>
      <x v="6"/>
    </i>
    <i>
      <x v="8"/>
    </i>
    <i>
      <x v="5"/>
    </i>
    <i>
      <x v="9"/>
    </i>
    <i>
      <x v="7"/>
    </i>
    <i>
      <x v="1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/>
    <dataField name="Sum of Profit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257C8-8AE3-45ED-82DE-905BF4DF770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10" firstHeaderRow="0" firstDataRow="1" firstDataCol="1"/>
  <pivotFields count="12">
    <pivotField showAll="0"/>
    <pivotField showAll="0"/>
    <pivotField showAll="0"/>
    <pivotField axis="axisRow" showAll="0" sortType="descending">
      <items count="7">
        <item x="2"/>
        <item x="0"/>
        <item x="3"/>
        <item x="4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9" showAll="0"/>
    <pivotField dataField="1" showAll="0"/>
    <pivotField dataField="1" showAll="0"/>
    <pivotField showAll="0"/>
  </pivotFields>
  <rowFields count="1">
    <field x="3"/>
  </rowFields>
  <rowItems count="7">
    <i>
      <x v="1"/>
    </i>
    <i>
      <x v="4"/>
    </i>
    <i>
      <x v="5"/>
    </i>
    <i>
      <x v="2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/>
    <dataField name="Sum of Profit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0E8DE-42B9-4776-BDD7-AF79D2D41437}" name="PivotTable2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3:C28" firstHeaderRow="0" firstDataRow="1" firstDataCol="1"/>
  <pivotFields count="12">
    <pivotField showAll="0"/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9" showAll="0"/>
    <pivotField dataField="1" showAll="0"/>
    <pivotField dataField="1" showAll="0"/>
    <pivotField showAll="0"/>
  </pivotFields>
  <rowFields count="1">
    <field x="4"/>
  </rowFields>
  <rowItems count="5">
    <i>
      <x v="1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/>
    <dataField name="Sum of Profit" fld="10" baseField="0" baseItem="0"/>
  </dataFields>
  <formats count="12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17B6E-16CF-441D-8C49-599194DEB7BA}" name="PivotTable20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13:G24" firstHeaderRow="0" firstDataRow="1" firstDataCol="1"/>
  <pivotFields count="12">
    <pivotField showAll="0"/>
    <pivotField showAll="0"/>
    <pivotField axis="axisRow" showAll="0" sortType="descending">
      <items count="11">
        <item x="8"/>
        <item x="3"/>
        <item x="1"/>
        <item x="0"/>
        <item x="5"/>
        <item x="4"/>
        <item x="7"/>
        <item x="6"/>
        <item x="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9" showAll="0"/>
    <pivotField dataField="1" showAll="0"/>
    <pivotField dataField="1" showAll="0"/>
    <pivotField showAll="0"/>
  </pivotFields>
  <rowFields count="1">
    <field x="2"/>
  </rowFields>
  <rowItems count="11">
    <i>
      <x v="2"/>
    </i>
    <i>
      <x v="3"/>
    </i>
    <i>
      <x v="6"/>
    </i>
    <i>
      <x v="8"/>
    </i>
    <i>
      <x v="5"/>
    </i>
    <i>
      <x v="9"/>
    </i>
    <i>
      <x v="7"/>
    </i>
    <i>
      <x v="1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/>
    <dataField name="Sum of Profit" fld="10" baseField="0" baseItem="0"/>
  </dataFields>
  <formats count="12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DB83A-9A03-49A0-8588-3F9CBE37E6AF}" name="PivotTable1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3:C20" firstHeaderRow="0" firstDataRow="1" firstDataCol="1"/>
  <pivotFields count="12">
    <pivotField showAll="0"/>
    <pivotField showAll="0"/>
    <pivotField showAll="0"/>
    <pivotField axis="axisRow" showAll="0" sortType="descending">
      <items count="7">
        <item x="2"/>
        <item x="0"/>
        <item x="3"/>
        <item x="4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9" showAll="0"/>
    <pivotField dataField="1" showAll="0"/>
    <pivotField dataField="1" showAll="0"/>
    <pivotField showAll="0"/>
  </pivotFields>
  <rowFields count="1">
    <field x="3"/>
  </rowFields>
  <rowItems count="7">
    <i>
      <x v="1"/>
    </i>
    <i>
      <x v="4"/>
    </i>
    <i>
      <x v="5"/>
    </i>
    <i>
      <x v="2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/>
    <dataField name="Sum of Profit" fld="10" baseField="0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3" type="button" dataOnly="0" labelOnly="1" outline="0" axis="axisRow" fieldPosition="0"/>
    </format>
    <format dxfId="39">
      <pivotArea dataOnly="0" labelOnly="1" fieldPosition="0">
        <references count="1">
          <reference field="3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5399BA-5370-4EF9-92DE-5A7CAB96CBA3}" name="Table1" displayName="Table1" ref="A1:L102" totalsRowCount="1" headerRowDxfId="45" dataDxfId="46" headerRowBorderDxfId="57" tableBorderDxfId="58">
  <autoFilter ref="A1:L101" xr:uid="{975399BA-5370-4EF9-92DE-5A7CAB96CBA3}"/>
  <sortState xmlns:xlrd2="http://schemas.microsoft.com/office/spreadsheetml/2017/richdata2" ref="A2:L101">
    <sortCondition ref="A1:A101"/>
  </sortState>
  <tableColumns count="12">
    <tableColumn id="1" xr3:uid="{59FF9C3C-BFEE-4A58-8972-0D7B606373AE}" name="Order ID" dataDxfId="56" totalsRowDxfId="11"/>
    <tableColumn id="2" xr3:uid="{DDE5A617-F117-4B89-A88C-8E5D9F44BD79}" name="Order Date" dataDxfId="55" totalsRowDxfId="10"/>
    <tableColumn id="3" xr3:uid="{AE12B28F-CBEC-4A4D-83F4-E37F2DA04E11}" name="Product" dataDxfId="54" totalsRowDxfId="9"/>
    <tableColumn id="4" xr3:uid="{5FDC3475-B9E4-4666-822F-16FDCF125648}" name="Category" dataDxfId="53" totalsRowDxfId="8"/>
    <tableColumn id="5" xr3:uid="{88811019-8FA2-404C-856E-7E7FB828769A}" name="Region" dataDxfId="52" totalsRowDxfId="7"/>
    <tableColumn id="6" xr3:uid="{7255E46A-C2F2-4415-BE05-E1B0AC162A63}" name="Salesperson" dataDxfId="51" totalsRowDxfId="6"/>
    <tableColumn id="7" xr3:uid="{7D825086-94DC-4596-B18C-137A336BCE9D}" name="Quantity" dataDxfId="50" totalsRowDxfId="5"/>
    <tableColumn id="8" xr3:uid="{0E7B1443-53C3-4ECF-ADE4-F28F98966CF1}" name="Unit Price" dataDxfId="49" totalsRowDxfId="4"/>
    <tableColumn id="9" xr3:uid="{DBA5225E-60AB-4165-8D64-B3BC0776898E}" name="Discount" dataDxfId="48" totalsRowDxfId="3" dataCellStyle="Percent" totalsRowCellStyle="Percent"/>
    <tableColumn id="10" xr3:uid="{41FAC5D4-EF4F-4598-99BF-5E0EEE96DEE1}" name="Total Sales" totalsRowFunction="custom" dataDxfId="44" totalsRowDxfId="2">
      <calculatedColumnFormula>G2*H2*(1-I2)</calculatedColumnFormula>
      <totalsRowFormula>SUM(Table1[Total Sales])</totalsRowFormula>
    </tableColumn>
    <tableColumn id="11" xr3:uid="{420B793F-F18A-4D6F-958E-C1CAC65717E5}" name="Profit" totalsRowFunction="custom" dataDxfId="43" totalsRowDxfId="1">
      <calculatedColumnFormula>J2-(G2*H2*0.78)</calculatedColumnFormula>
      <totalsRowFormula>SUM(Table1[Profit])</totalsRowFormula>
    </tableColumn>
    <tableColumn id="12" xr3:uid="{BFF9C504-3E34-4A4D-AA5C-5EF53E891996}" name="Payment Mode" dataDxfId="47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347D-9EB1-44DA-BD2A-2DF4D1CEDA86}">
  <dimension ref="A3:C8"/>
  <sheetViews>
    <sheetView workbookViewId="0">
      <selection activeCell="A3" sqref="A3:C8"/>
    </sheetView>
  </sheetViews>
  <sheetFormatPr defaultRowHeight="24" x14ac:dyDescent="0.8"/>
  <cols>
    <col min="1" max="1" width="13.59765625" bestFit="1" customWidth="1"/>
    <col min="2" max="2" width="19" bestFit="1" customWidth="1"/>
    <col min="3" max="3" width="13.296875" bestFit="1" customWidth="1"/>
  </cols>
  <sheetData>
    <row r="3" spans="1:3" x14ac:dyDescent="0.8">
      <c r="A3" s="8" t="s">
        <v>238</v>
      </c>
      <c r="B3" t="s">
        <v>237</v>
      </c>
      <c r="C3" t="s">
        <v>240</v>
      </c>
    </row>
    <row r="4" spans="1:3" x14ac:dyDescent="0.8">
      <c r="A4" s="9" t="s">
        <v>211</v>
      </c>
      <c r="B4" s="7">
        <v>1377334.3917999996</v>
      </c>
      <c r="C4" s="7">
        <v>235977.59080000006</v>
      </c>
    </row>
    <row r="5" spans="1:3" x14ac:dyDescent="0.8">
      <c r="A5" s="9" t="s">
        <v>213</v>
      </c>
      <c r="B5" s="7">
        <v>1310188.9553</v>
      </c>
      <c r="C5" s="7">
        <v>232075.55269999994</v>
      </c>
    </row>
    <row r="6" spans="1:3" x14ac:dyDescent="0.8">
      <c r="A6" s="9" t="s">
        <v>212</v>
      </c>
      <c r="B6" s="7">
        <v>803471.7415</v>
      </c>
      <c r="C6" s="7">
        <v>130423.01709999995</v>
      </c>
    </row>
    <row r="7" spans="1:3" x14ac:dyDescent="0.8">
      <c r="A7" s="9" t="s">
        <v>214</v>
      </c>
      <c r="B7" s="7">
        <v>803057.52449999994</v>
      </c>
      <c r="C7" s="7">
        <v>130715.7531</v>
      </c>
    </row>
    <row r="8" spans="1:3" x14ac:dyDescent="0.8">
      <c r="A8" s="9" t="s">
        <v>239</v>
      </c>
      <c r="B8" s="7">
        <v>4294052.6130999997</v>
      </c>
      <c r="C8" s="7">
        <v>729191.91369999992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860C-5E16-43FE-A060-263FF9E3D63C}">
  <dimension ref="A3:C14"/>
  <sheetViews>
    <sheetView workbookViewId="0">
      <selection activeCell="A3" sqref="A3:C14"/>
    </sheetView>
  </sheetViews>
  <sheetFormatPr defaultRowHeight="24" x14ac:dyDescent="0.8"/>
  <cols>
    <col min="1" max="1" width="13.59765625" bestFit="1" customWidth="1"/>
    <col min="2" max="2" width="19" bestFit="1" customWidth="1"/>
    <col min="3" max="3" width="13.296875" bestFit="1" customWidth="1"/>
  </cols>
  <sheetData>
    <row r="3" spans="1:3" x14ac:dyDescent="0.8">
      <c r="A3" s="8" t="s">
        <v>238</v>
      </c>
      <c r="B3" t="s">
        <v>237</v>
      </c>
      <c r="C3" t="s">
        <v>240</v>
      </c>
    </row>
    <row r="4" spans="1:3" x14ac:dyDescent="0.8">
      <c r="A4" s="9" t="s">
        <v>196</v>
      </c>
      <c r="B4" s="7">
        <v>1877688.4645999998</v>
      </c>
      <c r="C4" s="7">
        <v>348805.07479999989</v>
      </c>
    </row>
    <row r="5" spans="1:3" x14ac:dyDescent="0.8">
      <c r="A5" s="9" t="s">
        <v>195</v>
      </c>
      <c r="B5" s="7">
        <v>695340.95269999991</v>
      </c>
      <c r="C5" s="7">
        <v>104138.99329999999</v>
      </c>
    </row>
    <row r="6" spans="1:3" x14ac:dyDescent="0.8">
      <c r="A6" s="9" t="s">
        <v>202</v>
      </c>
      <c r="B6" s="7">
        <v>457859.23740000004</v>
      </c>
      <c r="C6" s="7">
        <v>66839.325000000012</v>
      </c>
    </row>
    <row r="7" spans="1:3" x14ac:dyDescent="0.8">
      <c r="A7" s="9" t="s">
        <v>197</v>
      </c>
      <c r="B7" s="7">
        <v>418392.90330000001</v>
      </c>
      <c r="C7" s="7">
        <v>70989.717300000004</v>
      </c>
    </row>
    <row r="8" spans="1:3" x14ac:dyDescent="0.8">
      <c r="A8" s="9" t="s">
        <v>199</v>
      </c>
      <c r="B8" s="7">
        <v>331036.17089999997</v>
      </c>
      <c r="C8" s="7">
        <v>48382.360499999995</v>
      </c>
    </row>
    <row r="9" spans="1:3" x14ac:dyDescent="0.8">
      <c r="A9" s="9" t="s">
        <v>204</v>
      </c>
      <c r="B9" s="7">
        <v>148201.99660000001</v>
      </c>
      <c r="C9" s="7">
        <v>26540.209600000006</v>
      </c>
    </row>
    <row r="10" spans="1:3" x14ac:dyDescent="0.8">
      <c r="A10" s="9" t="s">
        <v>201</v>
      </c>
      <c r="B10" s="7">
        <v>134705.2683</v>
      </c>
      <c r="C10" s="7">
        <v>24711.454499999996</v>
      </c>
    </row>
    <row r="11" spans="1:3" x14ac:dyDescent="0.8">
      <c r="A11" s="9" t="s">
        <v>198</v>
      </c>
      <c r="B11" s="7">
        <v>110550.0582</v>
      </c>
      <c r="C11" s="7">
        <v>18304.122599999995</v>
      </c>
    </row>
    <row r="12" spans="1:3" x14ac:dyDescent="0.8">
      <c r="A12" s="9" t="s">
        <v>203</v>
      </c>
      <c r="B12" s="7">
        <v>63822.600999999995</v>
      </c>
      <c r="C12" s="7">
        <v>11428.394199999997</v>
      </c>
    </row>
    <row r="13" spans="1:3" x14ac:dyDescent="0.8">
      <c r="A13" s="9" t="s">
        <v>200</v>
      </c>
      <c r="B13" s="7">
        <v>56454.960100000004</v>
      </c>
      <c r="C13" s="7">
        <v>9052.2618999999977</v>
      </c>
    </row>
    <row r="14" spans="1:3" x14ac:dyDescent="0.8">
      <c r="A14" s="9" t="s">
        <v>239</v>
      </c>
      <c r="B14" s="7">
        <v>4294052.6130999988</v>
      </c>
      <c r="C14" s="7">
        <v>729191.91369999992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98A1-B9B2-49A3-A470-AF2B4B5C1198}">
  <dimension ref="A3:C10"/>
  <sheetViews>
    <sheetView workbookViewId="0">
      <selection activeCell="B14" sqref="B14"/>
    </sheetView>
  </sheetViews>
  <sheetFormatPr defaultRowHeight="24" x14ac:dyDescent="0.8"/>
  <cols>
    <col min="1" max="1" width="15.3984375" bestFit="1" customWidth="1"/>
    <col min="2" max="2" width="19" bestFit="1" customWidth="1"/>
    <col min="3" max="3" width="13.296875" bestFit="1" customWidth="1"/>
  </cols>
  <sheetData>
    <row r="3" spans="1:3" x14ac:dyDescent="0.8">
      <c r="A3" s="8" t="s">
        <v>238</v>
      </c>
      <c r="B3" t="s">
        <v>237</v>
      </c>
      <c r="C3" t="s">
        <v>240</v>
      </c>
    </row>
    <row r="4" spans="1:3" x14ac:dyDescent="0.8">
      <c r="A4" s="9" t="s">
        <v>205</v>
      </c>
      <c r="B4" s="7">
        <v>2721231.4139000005</v>
      </c>
      <c r="C4" s="7">
        <v>479484.27769999992</v>
      </c>
    </row>
    <row r="5" spans="1:3" x14ac:dyDescent="0.8">
      <c r="A5" s="9" t="s">
        <v>210</v>
      </c>
      <c r="B5" s="7">
        <v>457859.23740000004</v>
      </c>
      <c r="C5" s="7">
        <v>66839.325000000012</v>
      </c>
    </row>
    <row r="6" spans="1:3" x14ac:dyDescent="0.8">
      <c r="A6" s="9" t="s">
        <v>206</v>
      </c>
      <c r="B6" s="7">
        <v>418392.90330000001</v>
      </c>
      <c r="C6" s="7">
        <v>70989.717300000004</v>
      </c>
    </row>
    <row r="7" spans="1:3" x14ac:dyDescent="0.8">
      <c r="A7" s="9" t="s">
        <v>208</v>
      </c>
      <c r="B7" s="7">
        <v>331036.17089999997</v>
      </c>
      <c r="C7" s="7">
        <v>48382.360499999995</v>
      </c>
    </row>
    <row r="8" spans="1:3" x14ac:dyDescent="0.8">
      <c r="A8" s="9" t="s">
        <v>207</v>
      </c>
      <c r="B8" s="7">
        <v>230827.61929999996</v>
      </c>
      <c r="C8" s="7">
        <v>38784.778699999981</v>
      </c>
    </row>
    <row r="9" spans="1:3" x14ac:dyDescent="0.8">
      <c r="A9" s="9" t="s">
        <v>209</v>
      </c>
      <c r="B9" s="7">
        <v>134705.2683</v>
      </c>
      <c r="C9" s="7">
        <v>24711.454499999996</v>
      </c>
    </row>
    <row r="10" spans="1:3" x14ac:dyDescent="0.8">
      <c r="A10" s="9" t="s">
        <v>239</v>
      </c>
      <c r="B10" s="7">
        <v>4294052.6131000007</v>
      </c>
      <c r="C10" s="7">
        <v>729191.9136999998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5B7C-843A-43E2-AD5A-4863F63B6A6B}">
  <dimension ref="A1:I19"/>
  <sheetViews>
    <sheetView showGridLines="0" tabSelected="1" workbookViewId="0">
      <selection activeCell="E6" sqref="E6"/>
    </sheetView>
  </sheetViews>
  <sheetFormatPr defaultRowHeight="24" x14ac:dyDescent="0.8"/>
  <cols>
    <col min="1" max="1" width="10.296875" customWidth="1"/>
    <col min="2" max="2" width="10.796875" customWidth="1"/>
    <col min="3" max="3" width="11.8984375" customWidth="1"/>
    <col min="4" max="4" width="20.69921875" customWidth="1"/>
    <col min="5" max="5" width="17.8984375" customWidth="1"/>
    <col min="6" max="7" width="20.296875" customWidth="1"/>
    <col min="8" max="8" width="13" customWidth="1"/>
    <col min="10" max="10" width="12" customWidth="1"/>
  </cols>
  <sheetData>
    <row r="1" spans="1:9" ht="37.799999999999997" x14ac:dyDescent="0.8">
      <c r="A1" s="21" t="s">
        <v>241</v>
      </c>
      <c r="B1" s="21"/>
      <c r="C1" s="21"/>
      <c r="D1" s="20"/>
      <c r="E1" s="21"/>
      <c r="F1" s="19"/>
      <c r="G1" s="19"/>
      <c r="H1" s="9"/>
      <c r="I1" s="9"/>
    </row>
    <row r="3" spans="1:9" ht="30.6" x14ac:dyDescent="1">
      <c r="A3" s="1"/>
      <c r="B3" s="1"/>
      <c r="C3" s="12"/>
      <c r="D3" s="28" t="s">
        <v>9</v>
      </c>
      <c r="E3" s="28" t="s">
        <v>229</v>
      </c>
      <c r="F3" s="28" t="s">
        <v>242</v>
      </c>
      <c r="G3" s="28" t="s">
        <v>243</v>
      </c>
    </row>
    <row r="4" spans="1:9" ht="39.6" x14ac:dyDescent="1.3">
      <c r="B4" s="10"/>
      <c r="C4" s="1"/>
      <c r="D4" s="29">
        <v>4294052.6100000003</v>
      </c>
      <c r="E4" s="29">
        <v>729191.91</v>
      </c>
      <c r="F4" s="30">
        <v>0.16980000000000001</v>
      </c>
      <c r="G4" s="31">
        <v>100</v>
      </c>
    </row>
    <row r="6" spans="1:9" ht="21.6" customHeight="1" x14ac:dyDescent="1">
      <c r="A6" s="23" t="s">
        <v>244</v>
      </c>
      <c r="B6" s="24"/>
      <c r="C6" s="24"/>
      <c r="D6" s="11"/>
      <c r="F6" s="26" t="s">
        <v>245</v>
      </c>
      <c r="G6" s="32"/>
      <c r="H6" s="25"/>
      <c r="I6" s="25" t="s">
        <v>3</v>
      </c>
    </row>
    <row r="19" spans="2:5" ht="30.6" x14ac:dyDescent="1">
      <c r="B19" s="27" t="s">
        <v>245</v>
      </c>
      <c r="C19" s="22"/>
      <c r="D19" s="22"/>
      <c r="E19" s="22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workbookViewId="0">
      <selection activeCell="K103" sqref="K103"/>
    </sheetView>
  </sheetViews>
  <sheetFormatPr defaultRowHeight="24" x14ac:dyDescent="0.8"/>
  <cols>
    <col min="1" max="1" width="12.19921875" customWidth="1"/>
    <col min="2" max="2" width="13.296875" customWidth="1"/>
    <col min="3" max="3" width="9.8984375" customWidth="1"/>
    <col min="4" max="4" width="11.8984375" customWidth="1"/>
    <col min="5" max="5" width="8.8984375" customWidth="1"/>
    <col min="6" max="6" width="13.69921875" customWidth="1"/>
    <col min="7" max="7" width="10.09765625" customWidth="1"/>
    <col min="8" max="8" width="11.69921875" customWidth="1"/>
    <col min="9" max="9" width="10.3984375" customWidth="1"/>
    <col min="10" max="10" width="13" customWidth="1"/>
    <col min="11" max="11" width="11.09765625" customWidth="1"/>
    <col min="12" max="12" width="17.296875" customWidth="1"/>
  </cols>
  <sheetData>
    <row r="1" spans="1:12" x14ac:dyDescent="0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8">
      <c r="A2" s="3" t="s">
        <v>12</v>
      </c>
      <c r="B2" s="3" t="s">
        <v>112</v>
      </c>
      <c r="C2" s="3" t="s">
        <v>195</v>
      </c>
      <c r="D2" s="3" t="s">
        <v>205</v>
      </c>
      <c r="E2" s="3" t="s">
        <v>211</v>
      </c>
      <c r="F2" s="3" t="s">
        <v>215</v>
      </c>
      <c r="G2" s="3">
        <v>1</v>
      </c>
      <c r="H2" s="3">
        <v>18695.669999999998</v>
      </c>
      <c r="I2" s="5">
        <v>0.02</v>
      </c>
      <c r="J2" s="3">
        <f t="shared" ref="J2:J33" si="0">G2*H2*(1-I2)</f>
        <v>18321.756599999997</v>
      </c>
      <c r="K2" s="3">
        <f t="shared" ref="K2:K33" si="1">J2-(G2*H2*0.78)</f>
        <v>3739.1339999999982</v>
      </c>
      <c r="L2" s="3" t="s">
        <v>223</v>
      </c>
    </row>
    <row r="3" spans="1:12" x14ac:dyDescent="0.8">
      <c r="A3" s="3" t="s">
        <v>13</v>
      </c>
      <c r="B3" s="3" t="s">
        <v>113</v>
      </c>
      <c r="C3" s="3" t="s">
        <v>196</v>
      </c>
      <c r="D3" s="3" t="s">
        <v>205</v>
      </c>
      <c r="E3" s="3" t="s">
        <v>212</v>
      </c>
      <c r="F3" s="3" t="s">
        <v>216</v>
      </c>
      <c r="G3" s="3">
        <v>1</v>
      </c>
      <c r="H3" s="3">
        <v>51424.52</v>
      </c>
      <c r="I3" s="5">
        <v>0.02</v>
      </c>
      <c r="J3" s="3">
        <f t="shared" si="0"/>
        <v>50396.029599999994</v>
      </c>
      <c r="K3" s="3">
        <f t="shared" si="1"/>
        <v>10284.903999999995</v>
      </c>
      <c r="L3" s="3" t="s">
        <v>224</v>
      </c>
    </row>
    <row r="4" spans="1:12" x14ac:dyDescent="0.8">
      <c r="A4" s="3" t="s">
        <v>14</v>
      </c>
      <c r="B4" s="3" t="s">
        <v>114</v>
      </c>
      <c r="C4" s="3" t="s">
        <v>197</v>
      </c>
      <c r="D4" s="3" t="s">
        <v>206</v>
      </c>
      <c r="E4" s="3" t="s">
        <v>213</v>
      </c>
      <c r="F4" s="3" t="s">
        <v>217</v>
      </c>
      <c r="G4" s="3">
        <v>5</v>
      </c>
      <c r="H4" s="3">
        <v>6821.81</v>
      </c>
      <c r="I4" s="5">
        <v>0</v>
      </c>
      <c r="J4" s="3">
        <f t="shared" si="0"/>
        <v>34109.050000000003</v>
      </c>
      <c r="K4" s="3">
        <f t="shared" si="1"/>
        <v>7503.9909999999982</v>
      </c>
      <c r="L4" s="3" t="s">
        <v>225</v>
      </c>
    </row>
    <row r="5" spans="1:12" x14ac:dyDescent="0.8">
      <c r="A5" s="3" t="s">
        <v>15</v>
      </c>
      <c r="B5" s="3" t="s">
        <v>115</v>
      </c>
      <c r="C5" s="3" t="s">
        <v>198</v>
      </c>
      <c r="D5" s="3" t="s">
        <v>207</v>
      </c>
      <c r="E5" s="3" t="s">
        <v>211</v>
      </c>
      <c r="F5" s="3" t="s">
        <v>217</v>
      </c>
      <c r="G5" s="3">
        <v>4</v>
      </c>
      <c r="H5" s="3">
        <v>1931.68</v>
      </c>
      <c r="I5" s="5">
        <v>0.05</v>
      </c>
      <c r="J5" s="3">
        <f t="shared" si="0"/>
        <v>7340.384</v>
      </c>
      <c r="K5" s="3">
        <f t="shared" si="1"/>
        <v>1313.5423999999994</v>
      </c>
      <c r="L5" s="3" t="s">
        <v>225</v>
      </c>
    </row>
    <row r="6" spans="1:12" x14ac:dyDescent="0.8">
      <c r="A6" s="3" t="s">
        <v>16</v>
      </c>
      <c r="B6" s="3" t="s">
        <v>116</v>
      </c>
      <c r="C6" s="3" t="s">
        <v>199</v>
      </c>
      <c r="D6" s="3" t="s">
        <v>208</v>
      </c>
      <c r="E6" s="3" t="s">
        <v>213</v>
      </c>
      <c r="F6" s="3" t="s">
        <v>215</v>
      </c>
      <c r="G6" s="3">
        <v>5</v>
      </c>
      <c r="H6" s="3">
        <v>8917.69</v>
      </c>
      <c r="I6" s="5">
        <v>0.15</v>
      </c>
      <c r="J6" s="3">
        <f t="shared" si="0"/>
        <v>37900.182500000003</v>
      </c>
      <c r="K6" s="3">
        <f t="shared" si="1"/>
        <v>3121.1915000000008</v>
      </c>
      <c r="L6" s="3" t="s">
        <v>225</v>
      </c>
    </row>
    <row r="7" spans="1:12" x14ac:dyDescent="0.8">
      <c r="A7" s="3" t="s">
        <v>17</v>
      </c>
      <c r="B7" s="3" t="s">
        <v>117</v>
      </c>
      <c r="C7" s="3" t="s">
        <v>199</v>
      </c>
      <c r="D7" s="3" t="s">
        <v>208</v>
      </c>
      <c r="E7" s="3" t="s">
        <v>212</v>
      </c>
      <c r="F7" s="3" t="s">
        <v>218</v>
      </c>
      <c r="G7" s="3">
        <v>6</v>
      </c>
      <c r="H7" s="3">
        <v>8605.2000000000007</v>
      </c>
      <c r="I7" s="5">
        <v>0.15</v>
      </c>
      <c r="J7" s="3">
        <f t="shared" si="0"/>
        <v>43886.520000000004</v>
      </c>
      <c r="K7" s="3">
        <f t="shared" si="1"/>
        <v>3614.1840000000011</v>
      </c>
      <c r="L7" s="3" t="s">
        <v>226</v>
      </c>
    </row>
    <row r="8" spans="1:12" x14ac:dyDescent="0.8">
      <c r="A8" s="3" t="s">
        <v>18</v>
      </c>
      <c r="B8" s="3" t="s">
        <v>118</v>
      </c>
      <c r="C8" s="3" t="s">
        <v>200</v>
      </c>
      <c r="D8" s="3" t="s">
        <v>207</v>
      </c>
      <c r="E8" s="3" t="s">
        <v>212</v>
      </c>
      <c r="F8" s="3" t="s">
        <v>217</v>
      </c>
      <c r="G8" s="3">
        <v>2</v>
      </c>
      <c r="H8" s="3">
        <v>882.74</v>
      </c>
      <c r="I8" s="5">
        <v>0.08</v>
      </c>
      <c r="J8" s="3">
        <f t="shared" si="0"/>
        <v>1624.2416000000001</v>
      </c>
      <c r="K8" s="3">
        <f t="shared" si="1"/>
        <v>247.16720000000009</v>
      </c>
      <c r="L8" s="3" t="s">
        <v>225</v>
      </c>
    </row>
    <row r="9" spans="1:12" x14ac:dyDescent="0.8">
      <c r="A9" s="3" t="s">
        <v>19</v>
      </c>
      <c r="B9" s="3" t="s">
        <v>119</v>
      </c>
      <c r="C9" s="3" t="s">
        <v>200</v>
      </c>
      <c r="D9" s="3" t="s">
        <v>207</v>
      </c>
      <c r="E9" s="3" t="s">
        <v>212</v>
      </c>
      <c r="F9" s="3" t="s">
        <v>219</v>
      </c>
      <c r="G9" s="3">
        <v>5</v>
      </c>
      <c r="H9" s="3">
        <v>929.06</v>
      </c>
      <c r="I9" s="5">
        <v>0.15</v>
      </c>
      <c r="J9" s="3">
        <f t="shared" si="0"/>
        <v>3948.5049999999992</v>
      </c>
      <c r="K9" s="3">
        <f t="shared" si="1"/>
        <v>325.17099999999982</v>
      </c>
      <c r="L9" s="3" t="s">
        <v>224</v>
      </c>
    </row>
    <row r="10" spans="1:12" x14ac:dyDescent="0.8">
      <c r="A10" s="3" t="s">
        <v>20</v>
      </c>
      <c r="B10" s="3" t="s">
        <v>120</v>
      </c>
      <c r="C10" s="3" t="s">
        <v>197</v>
      </c>
      <c r="D10" s="3" t="s">
        <v>206</v>
      </c>
      <c r="E10" s="3" t="s">
        <v>214</v>
      </c>
      <c r="F10" s="3" t="s">
        <v>220</v>
      </c>
      <c r="G10" s="3">
        <v>7</v>
      </c>
      <c r="H10" s="3">
        <v>6260.75</v>
      </c>
      <c r="I10" s="5">
        <v>0.15</v>
      </c>
      <c r="J10" s="3">
        <f t="shared" si="0"/>
        <v>37251.462500000001</v>
      </c>
      <c r="K10" s="3">
        <f t="shared" si="1"/>
        <v>3067.7675000000017</v>
      </c>
      <c r="L10" s="3" t="s">
        <v>224</v>
      </c>
    </row>
    <row r="11" spans="1:12" x14ac:dyDescent="0.8">
      <c r="A11" s="3" t="s">
        <v>21</v>
      </c>
      <c r="B11" s="3" t="s">
        <v>121</v>
      </c>
      <c r="C11" s="3" t="s">
        <v>196</v>
      </c>
      <c r="D11" s="3" t="s">
        <v>205</v>
      </c>
      <c r="E11" s="3" t="s">
        <v>214</v>
      </c>
      <c r="F11" s="3" t="s">
        <v>219</v>
      </c>
      <c r="G11" s="3">
        <v>6</v>
      </c>
      <c r="H11" s="3">
        <v>54130.25</v>
      </c>
      <c r="I11" s="5">
        <v>0</v>
      </c>
      <c r="J11" s="3">
        <f t="shared" si="0"/>
        <v>324781.5</v>
      </c>
      <c r="K11" s="3">
        <f t="shared" si="1"/>
        <v>71451.929999999993</v>
      </c>
      <c r="L11" s="3" t="s">
        <v>223</v>
      </c>
    </row>
    <row r="12" spans="1:12" x14ac:dyDescent="0.8">
      <c r="A12" s="3" t="s">
        <v>22</v>
      </c>
      <c r="B12" s="3" t="s">
        <v>122</v>
      </c>
      <c r="C12" s="3" t="s">
        <v>201</v>
      </c>
      <c r="D12" s="3" t="s">
        <v>209</v>
      </c>
      <c r="E12" s="3" t="s">
        <v>214</v>
      </c>
      <c r="F12" s="3" t="s">
        <v>216</v>
      </c>
      <c r="G12" s="3">
        <v>8</v>
      </c>
      <c r="H12" s="3">
        <v>3300.01</v>
      </c>
      <c r="I12" s="5">
        <v>0.02</v>
      </c>
      <c r="J12" s="3">
        <f t="shared" si="0"/>
        <v>25872.078400000002</v>
      </c>
      <c r="K12" s="3">
        <f t="shared" si="1"/>
        <v>5280.0159999999996</v>
      </c>
      <c r="L12" s="3" t="s">
        <v>223</v>
      </c>
    </row>
    <row r="13" spans="1:12" x14ac:dyDescent="0.8">
      <c r="A13" s="3" t="s">
        <v>23</v>
      </c>
      <c r="B13" s="3" t="s">
        <v>123</v>
      </c>
      <c r="C13" s="3" t="s">
        <v>202</v>
      </c>
      <c r="D13" s="3" t="s">
        <v>210</v>
      </c>
      <c r="E13" s="3" t="s">
        <v>211</v>
      </c>
      <c r="F13" s="3" t="s">
        <v>215</v>
      </c>
      <c r="G13" s="3">
        <v>4</v>
      </c>
      <c r="H13" s="3">
        <v>13494.65</v>
      </c>
      <c r="I13" s="5">
        <v>0.02</v>
      </c>
      <c r="J13" s="3">
        <f t="shared" si="0"/>
        <v>52899.027999999998</v>
      </c>
      <c r="K13" s="3">
        <f t="shared" si="1"/>
        <v>10795.720000000001</v>
      </c>
      <c r="L13" s="3" t="s">
        <v>224</v>
      </c>
    </row>
    <row r="14" spans="1:12" x14ac:dyDescent="0.8">
      <c r="A14" s="3" t="s">
        <v>24</v>
      </c>
      <c r="B14" s="3" t="s">
        <v>124</v>
      </c>
      <c r="C14" s="3" t="s">
        <v>198</v>
      </c>
      <c r="D14" s="3" t="s">
        <v>207</v>
      </c>
      <c r="E14" s="3" t="s">
        <v>213</v>
      </c>
      <c r="F14" s="3" t="s">
        <v>218</v>
      </c>
      <c r="G14" s="3">
        <v>7</v>
      </c>
      <c r="H14" s="3">
        <v>1827.77</v>
      </c>
      <c r="I14" s="5">
        <v>0.08</v>
      </c>
      <c r="J14" s="3">
        <f t="shared" si="0"/>
        <v>11770.8388</v>
      </c>
      <c r="K14" s="3">
        <f t="shared" si="1"/>
        <v>1791.2145999999993</v>
      </c>
      <c r="L14" s="3" t="s">
        <v>226</v>
      </c>
    </row>
    <row r="15" spans="1:12" x14ac:dyDescent="0.8">
      <c r="A15" s="3" t="s">
        <v>25</v>
      </c>
      <c r="B15" s="3" t="s">
        <v>125</v>
      </c>
      <c r="C15" s="3" t="s">
        <v>195</v>
      </c>
      <c r="D15" s="3" t="s">
        <v>205</v>
      </c>
      <c r="E15" s="3" t="s">
        <v>212</v>
      </c>
      <c r="F15" s="3" t="s">
        <v>221</v>
      </c>
      <c r="G15" s="3">
        <v>5</v>
      </c>
      <c r="H15" s="3">
        <v>18773.560000000001</v>
      </c>
      <c r="I15" s="5">
        <v>0.05</v>
      </c>
      <c r="J15" s="3">
        <f t="shared" si="0"/>
        <v>89174.41</v>
      </c>
      <c r="K15" s="3">
        <f t="shared" si="1"/>
        <v>15957.525999999998</v>
      </c>
      <c r="L15" s="3" t="s">
        <v>226</v>
      </c>
    </row>
    <row r="16" spans="1:12" x14ac:dyDescent="0.8">
      <c r="A16" s="3" t="s">
        <v>26</v>
      </c>
      <c r="B16" s="3" t="s">
        <v>126</v>
      </c>
      <c r="C16" s="3" t="s">
        <v>203</v>
      </c>
      <c r="D16" s="3" t="s">
        <v>207</v>
      </c>
      <c r="E16" s="3" t="s">
        <v>212</v>
      </c>
      <c r="F16" s="3" t="s">
        <v>222</v>
      </c>
      <c r="G16" s="3">
        <v>3</v>
      </c>
      <c r="H16" s="3">
        <v>2202.6999999999998</v>
      </c>
      <c r="I16" s="5">
        <v>0</v>
      </c>
      <c r="J16" s="3">
        <f t="shared" si="0"/>
        <v>6608.0999999999995</v>
      </c>
      <c r="K16" s="3">
        <f t="shared" si="1"/>
        <v>1453.7820000000002</v>
      </c>
      <c r="L16" s="3" t="s">
        <v>225</v>
      </c>
    </row>
    <row r="17" spans="1:12" x14ac:dyDescent="0.8">
      <c r="A17" s="3" t="s">
        <v>27</v>
      </c>
      <c r="B17" s="3" t="s">
        <v>127</v>
      </c>
      <c r="C17" s="3" t="s">
        <v>198</v>
      </c>
      <c r="D17" s="3" t="s">
        <v>207</v>
      </c>
      <c r="E17" s="3" t="s">
        <v>214</v>
      </c>
      <c r="F17" s="3" t="s">
        <v>218</v>
      </c>
      <c r="G17" s="3">
        <v>1</v>
      </c>
      <c r="H17" s="3">
        <v>1828.5</v>
      </c>
      <c r="I17" s="5">
        <v>0.08</v>
      </c>
      <c r="J17" s="3">
        <f t="shared" si="0"/>
        <v>1682.22</v>
      </c>
      <c r="K17" s="3">
        <f t="shared" si="1"/>
        <v>255.99</v>
      </c>
      <c r="L17" s="3" t="s">
        <v>224</v>
      </c>
    </row>
    <row r="18" spans="1:12" x14ac:dyDescent="0.8">
      <c r="A18" s="3" t="s">
        <v>28</v>
      </c>
      <c r="B18" s="3" t="s">
        <v>128</v>
      </c>
      <c r="C18" s="3" t="s">
        <v>196</v>
      </c>
      <c r="D18" s="3" t="s">
        <v>205</v>
      </c>
      <c r="E18" s="3" t="s">
        <v>211</v>
      </c>
      <c r="F18" s="3" t="s">
        <v>222</v>
      </c>
      <c r="G18" s="3">
        <v>4</v>
      </c>
      <c r="H18" s="3">
        <v>58326.48</v>
      </c>
      <c r="I18" s="5">
        <v>0</v>
      </c>
      <c r="J18" s="3">
        <f t="shared" si="0"/>
        <v>233305.92</v>
      </c>
      <c r="K18" s="3">
        <f t="shared" si="1"/>
        <v>51327.302399999986</v>
      </c>
      <c r="L18" s="3" t="s">
        <v>224</v>
      </c>
    </row>
    <row r="19" spans="1:12" x14ac:dyDescent="0.8">
      <c r="A19" s="3" t="s">
        <v>29</v>
      </c>
      <c r="B19" s="3" t="s">
        <v>129</v>
      </c>
      <c r="C19" s="3" t="s">
        <v>197</v>
      </c>
      <c r="D19" s="3" t="s">
        <v>206</v>
      </c>
      <c r="E19" s="3" t="s">
        <v>212</v>
      </c>
      <c r="F19" s="3" t="s">
        <v>218</v>
      </c>
      <c r="G19" s="3">
        <v>3</v>
      </c>
      <c r="H19" s="3">
        <v>6255.66</v>
      </c>
      <c r="I19" s="5">
        <v>0.1</v>
      </c>
      <c r="J19" s="3">
        <f t="shared" si="0"/>
        <v>16890.281999999999</v>
      </c>
      <c r="K19" s="3">
        <f t="shared" si="1"/>
        <v>2252.0375999999997</v>
      </c>
      <c r="L19" s="3" t="s">
        <v>223</v>
      </c>
    </row>
    <row r="20" spans="1:12" x14ac:dyDescent="0.8">
      <c r="A20" s="3" t="s">
        <v>30</v>
      </c>
      <c r="B20" s="3" t="s">
        <v>130</v>
      </c>
      <c r="C20" s="3" t="s">
        <v>202</v>
      </c>
      <c r="D20" s="3" t="s">
        <v>210</v>
      </c>
      <c r="E20" s="3" t="s">
        <v>211</v>
      </c>
      <c r="F20" s="3" t="s">
        <v>217</v>
      </c>
      <c r="G20" s="3">
        <v>8</v>
      </c>
      <c r="H20" s="3">
        <v>13299.23</v>
      </c>
      <c r="I20" s="5">
        <v>0.08</v>
      </c>
      <c r="J20" s="3">
        <f t="shared" si="0"/>
        <v>97882.332800000004</v>
      </c>
      <c r="K20" s="3">
        <f t="shared" si="1"/>
        <v>14895.137600000002</v>
      </c>
      <c r="L20" s="3" t="s">
        <v>226</v>
      </c>
    </row>
    <row r="21" spans="1:12" x14ac:dyDescent="0.8">
      <c r="A21" s="3" t="s">
        <v>31</v>
      </c>
      <c r="B21" s="3" t="s">
        <v>131</v>
      </c>
      <c r="C21" s="3" t="s">
        <v>199</v>
      </c>
      <c r="D21" s="3" t="s">
        <v>208</v>
      </c>
      <c r="E21" s="3" t="s">
        <v>211</v>
      </c>
      <c r="F21" s="3" t="s">
        <v>219</v>
      </c>
      <c r="G21" s="3">
        <v>4</v>
      </c>
      <c r="H21" s="3">
        <v>8620.2800000000007</v>
      </c>
      <c r="I21" s="5">
        <v>0</v>
      </c>
      <c r="J21" s="3">
        <f t="shared" si="0"/>
        <v>34481.120000000003</v>
      </c>
      <c r="K21" s="3">
        <f t="shared" si="1"/>
        <v>7585.8463999999985</v>
      </c>
      <c r="L21" s="3" t="s">
        <v>226</v>
      </c>
    </row>
    <row r="22" spans="1:12" x14ac:dyDescent="0.8">
      <c r="A22" s="3" t="s">
        <v>32</v>
      </c>
      <c r="B22" s="3" t="s">
        <v>132</v>
      </c>
      <c r="C22" s="3" t="s">
        <v>196</v>
      </c>
      <c r="D22" s="3" t="s">
        <v>205</v>
      </c>
      <c r="E22" s="3" t="s">
        <v>212</v>
      </c>
      <c r="F22" s="3" t="s">
        <v>222</v>
      </c>
      <c r="G22" s="3">
        <v>6</v>
      </c>
      <c r="H22" s="3">
        <v>51223.54</v>
      </c>
      <c r="I22" s="5">
        <v>0.02</v>
      </c>
      <c r="J22" s="3">
        <f t="shared" si="0"/>
        <v>301194.41519999999</v>
      </c>
      <c r="K22" s="3">
        <f t="shared" si="1"/>
        <v>61468.247999999992</v>
      </c>
      <c r="L22" s="3" t="s">
        <v>223</v>
      </c>
    </row>
    <row r="23" spans="1:12" x14ac:dyDescent="0.8">
      <c r="A23" s="3" t="s">
        <v>33</v>
      </c>
      <c r="B23" s="3" t="s">
        <v>133</v>
      </c>
      <c r="C23" s="3" t="s">
        <v>200</v>
      </c>
      <c r="D23" s="3" t="s">
        <v>207</v>
      </c>
      <c r="E23" s="3" t="s">
        <v>213</v>
      </c>
      <c r="F23" s="3" t="s">
        <v>217</v>
      </c>
      <c r="G23" s="3">
        <v>8</v>
      </c>
      <c r="H23" s="3">
        <v>944.28</v>
      </c>
      <c r="I23" s="5">
        <v>0.02</v>
      </c>
      <c r="J23" s="3">
        <f t="shared" si="0"/>
        <v>7403.1551999999992</v>
      </c>
      <c r="K23" s="3">
        <f t="shared" si="1"/>
        <v>1510.847999999999</v>
      </c>
      <c r="L23" s="3" t="s">
        <v>223</v>
      </c>
    </row>
    <row r="24" spans="1:12" x14ac:dyDescent="0.8">
      <c r="A24" s="3" t="s">
        <v>34</v>
      </c>
      <c r="B24" s="3" t="s">
        <v>134</v>
      </c>
      <c r="C24" s="3" t="s">
        <v>201</v>
      </c>
      <c r="D24" s="3" t="s">
        <v>209</v>
      </c>
      <c r="E24" s="3" t="s">
        <v>211</v>
      </c>
      <c r="F24" s="3" t="s">
        <v>220</v>
      </c>
      <c r="G24" s="3">
        <v>8</v>
      </c>
      <c r="H24" s="3">
        <v>3703.75</v>
      </c>
      <c r="I24" s="5">
        <v>0</v>
      </c>
      <c r="J24" s="3">
        <f t="shared" si="0"/>
        <v>29630</v>
      </c>
      <c r="K24" s="3">
        <f t="shared" si="1"/>
        <v>6518.5999999999985</v>
      </c>
      <c r="L24" s="3" t="s">
        <v>223</v>
      </c>
    </row>
    <row r="25" spans="1:12" x14ac:dyDescent="0.8">
      <c r="A25" s="3" t="s">
        <v>35</v>
      </c>
      <c r="B25" s="3" t="s">
        <v>135</v>
      </c>
      <c r="C25" s="3" t="s">
        <v>202</v>
      </c>
      <c r="D25" s="3" t="s">
        <v>210</v>
      </c>
      <c r="E25" s="3" t="s">
        <v>213</v>
      </c>
      <c r="F25" s="3" t="s">
        <v>222</v>
      </c>
      <c r="G25" s="3">
        <v>2</v>
      </c>
      <c r="H25" s="3">
        <v>11997.31</v>
      </c>
      <c r="I25" s="5">
        <v>0.02</v>
      </c>
      <c r="J25" s="3">
        <f t="shared" si="0"/>
        <v>23514.727599999998</v>
      </c>
      <c r="K25" s="3">
        <f t="shared" si="1"/>
        <v>4798.9239999999991</v>
      </c>
      <c r="L25" s="3" t="s">
        <v>225</v>
      </c>
    </row>
    <row r="26" spans="1:12" x14ac:dyDescent="0.8">
      <c r="A26" s="3" t="s">
        <v>36</v>
      </c>
      <c r="B26" s="3" t="s">
        <v>136</v>
      </c>
      <c r="C26" s="3" t="s">
        <v>197</v>
      </c>
      <c r="D26" s="3" t="s">
        <v>206</v>
      </c>
      <c r="E26" s="3" t="s">
        <v>211</v>
      </c>
      <c r="F26" s="3" t="s">
        <v>220</v>
      </c>
      <c r="G26" s="3">
        <v>4</v>
      </c>
      <c r="H26" s="3">
        <v>6889.47</v>
      </c>
      <c r="I26" s="5">
        <v>0</v>
      </c>
      <c r="J26" s="3">
        <f t="shared" si="0"/>
        <v>27557.88</v>
      </c>
      <c r="K26" s="3">
        <f t="shared" si="1"/>
        <v>6062.7335999999996</v>
      </c>
      <c r="L26" s="3" t="s">
        <v>226</v>
      </c>
    </row>
    <row r="27" spans="1:12" x14ac:dyDescent="0.8">
      <c r="A27" s="3" t="s">
        <v>37</v>
      </c>
      <c r="B27" s="3" t="s">
        <v>137</v>
      </c>
      <c r="C27" s="3" t="s">
        <v>195</v>
      </c>
      <c r="D27" s="3" t="s">
        <v>205</v>
      </c>
      <c r="E27" s="3" t="s">
        <v>213</v>
      </c>
      <c r="F27" s="3" t="s">
        <v>220</v>
      </c>
      <c r="G27" s="3">
        <v>4</v>
      </c>
      <c r="H27" s="3">
        <v>17038.98</v>
      </c>
      <c r="I27" s="5">
        <v>0.08</v>
      </c>
      <c r="J27" s="3">
        <f t="shared" si="0"/>
        <v>62703.446400000001</v>
      </c>
      <c r="K27" s="3">
        <f t="shared" si="1"/>
        <v>9541.828800000003</v>
      </c>
      <c r="L27" s="3" t="s">
        <v>224</v>
      </c>
    </row>
    <row r="28" spans="1:12" x14ac:dyDescent="0.8">
      <c r="A28" s="3" t="s">
        <v>38</v>
      </c>
      <c r="B28" s="3" t="s">
        <v>138</v>
      </c>
      <c r="C28" s="3" t="s">
        <v>201</v>
      </c>
      <c r="D28" s="3" t="s">
        <v>209</v>
      </c>
      <c r="E28" s="3" t="s">
        <v>213</v>
      </c>
      <c r="F28" s="3" t="s">
        <v>218</v>
      </c>
      <c r="G28" s="3">
        <v>1</v>
      </c>
      <c r="H28" s="3">
        <v>3771.77</v>
      </c>
      <c r="I28" s="5">
        <v>0.05</v>
      </c>
      <c r="J28" s="3">
        <f t="shared" si="0"/>
        <v>3583.1814999999997</v>
      </c>
      <c r="K28" s="3">
        <f t="shared" si="1"/>
        <v>641.20089999999982</v>
      </c>
      <c r="L28" s="3" t="s">
        <v>223</v>
      </c>
    </row>
    <row r="29" spans="1:12" x14ac:dyDescent="0.8">
      <c r="A29" s="3" t="s">
        <v>39</v>
      </c>
      <c r="B29" s="3" t="s">
        <v>139</v>
      </c>
      <c r="C29" s="3" t="s">
        <v>204</v>
      </c>
      <c r="D29" s="3" t="s">
        <v>205</v>
      </c>
      <c r="E29" s="3" t="s">
        <v>211</v>
      </c>
      <c r="F29" s="3" t="s">
        <v>217</v>
      </c>
      <c r="G29" s="3">
        <v>8</v>
      </c>
      <c r="H29" s="3">
        <v>3023.26</v>
      </c>
      <c r="I29" s="5">
        <v>0.05</v>
      </c>
      <c r="J29" s="3">
        <f t="shared" si="0"/>
        <v>22976.776000000002</v>
      </c>
      <c r="K29" s="3">
        <f t="shared" si="1"/>
        <v>4111.633600000001</v>
      </c>
      <c r="L29" s="3" t="s">
        <v>226</v>
      </c>
    </row>
    <row r="30" spans="1:12" x14ac:dyDescent="0.8">
      <c r="A30" s="3" t="s">
        <v>40</v>
      </c>
      <c r="B30" s="3" t="s">
        <v>140</v>
      </c>
      <c r="C30" s="3" t="s">
        <v>196</v>
      </c>
      <c r="D30" s="3" t="s">
        <v>205</v>
      </c>
      <c r="E30" s="3" t="s">
        <v>211</v>
      </c>
      <c r="F30" s="3" t="s">
        <v>222</v>
      </c>
      <c r="G30" s="3">
        <v>8</v>
      </c>
      <c r="H30" s="3">
        <v>55025.08</v>
      </c>
      <c r="I30" s="5">
        <v>0.1</v>
      </c>
      <c r="J30" s="3">
        <f t="shared" si="0"/>
        <v>396180.576</v>
      </c>
      <c r="K30" s="3">
        <f t="shared" si="1"/>
        <v>52824.076799999981</v>
      </c>
      <c r="L30" s="3" t="s">
        <v>226</v>
      </c>
    </row>
    <row r="31" spans="1:12" x14ac:dyDescent="0.8">
      <c r="A31" s="3" t="s">
        <v>41</v>
      </c>
      <c r="B31" s="3" t="s">
        <v>141</v>
      </c>
      <c r="C31" s="3" t="s">
        <v>199</v>
      </c>
      <c r="D31" s="3" t="s">
        <v>208</v>
      </c>
      <c r="E31" s="3" t="s">
        <v>212</v>
      </c>
      <c r="F31" s="3" t="s">
        <v>220</v>
      </c>
      <c r="G31" s="3">
        <v>2</v>
      </c>
      <c r="H31" s="3">
        <v>8738.2900000000009</v>
      </c>
      <c r="I31" s="5">
        <v>0.02</v>
      </c>
      <c r="J31" s="3">
        <f t="shared" si="0"/>
        <v>17127.0484</v>
      </c>
      <c r="K31" s="3">
        <f t="shared" si="1"/>
        <v>3495.3159999999971</v>
      </c>
      <c r="L31" s="3" t="s">
        <v>226</v>
      </c>
    </row>
    <row r="32" spans="1:12" x14ac:dyDescent="0.8">
      <c r="A32" s="3" t="s">
        <v>42</v>
      </c>
      <c r="B32" s="3" t="s">
        <v>142</v>
      </c>
      <c r="C32" s="3" t="s">
        <v>201</v>
      </c>
      <c r="D32" s="3" t="s">
        <v>209</v>
      </c>
      <c r="E32" s="3" t="s">
        <v>212</v>
      </c>
      <c r="F32" s="3" t="s">
        <v>218</v>
      </c>
      <c r="G32" s="3">
        <v>6</v>
      </c>
      <c r="H32" s="3">
        <v>3743.44</v>
      </c>
      <c r="I32" s="5">
        <v>0.02</v>
      </c>
      <c r="J32" s="3">
        <f t="shared" si="0"/>
        <v>22011.427199999998</v>
      </c>
      <c r="K32" s="3">
        <f t="shared" si="1"/>
        <v>4492.127999999997</v>
      </c>
      <c r="L32" s="3" t="s">
        <v>223</v>
      </c>
    </row>
    <row r="33" spans="1:12" x14ac:dyDescent="0.8">
      <c r="A33" s="3" t="s">
        <v>43</v>
      </c>
      <c r="B33" s="3" t="s">
        <v>143</v>
      </c>
      <c r="C33" s="3" t="s">
        <v>198</v>
      </c>
      <c r="D33" s="3" t="s">
        <v>207</v>
      </c>
      <c r="E33" s="3" t="s">
        <v>211</v>
      </c>
      <c r="F33" s="3" t="s">
        <v>215</v>
      </c>
      <c r="G33" s="3">
        <v>5</v>
      </c>
      <c r="H33" s="3">
        <v>1787.68</v>
      </c>
      <c r="I33" s="5">
        <v>0</v>
      </c>
      <c r="J33" s="3">
        <f t="shared" si="0"/>
        <v>8938.4</v>
      </c>
      <c r="K33" s="3">
        <f t="shared" si="1"/>
        <v>1966.4479999999994</v>
      </c>
      <c r="L33" s="3" t="s">
        <v>224</v>
      </c>
    </row>
    <row r="34" spans="1:12" x14ac:dyDescent="0.8">
      <c r="A34" s="3" t="s">
        <v>44</v>
      </c>
      <c r="B34" s="3" t="s">
        <v>144</v>
      </c>
      <c r="C34" s="3" t="s">
        <v>204</v>
      </c>
      <c r="D34" s="3" t="s">
        <v>205</v>
      </c>
      <c r="E34" s="3" t="s">
        <v>212</v>
      </c>
      <c r="F34" s="3" t="s">
        <v>217</v>
      </c>
      <c r="G34" s="3">
        <v>5</v>
      </c>
      <c r="H34" s="3">
        <v>3011.82</v>
      </c>
      <c r="I34" s="5">
        <v>0.05</v>
      </c>
      <c r="J34" s="3">
        <f t="shared" ref="J34:J65" si="2">G34*H34*(1-I34)</f>
        <v>14306.145</v>
      </c>
      <c r="K34" s="3">
        <f t="shared" ref="K34:K65" si="3">J34-(G34*H34*0.78)</f>
        <v>2560.0470000000005</v>
      </c>
      <c r="L34" s="3" t="s">
        <v>225</v>
      </c>
    </row>
    <row r="35" spans="1:12" x14ac:dyDescent="0.8">
      <c r="A35" s="3" t="s">
        <v>45</v>
      </c>
      <c r="B35" s="3" t="s">
        <v>145</v>
      </c>
      <c r="C35" s="3" t="s">
        <v>198</v>
      </c>
      <c r="D35" s="3" t="s">
        <v>207</v>
      </c>
      <c r="E35" s="3" t="s">
        <v>211</v>
      </c>
      <c r="F35" s="3" t="s">
        <v>218</v>
      </c>
      <c r="G35" s="3">
        <v>8</v>
      </c>
      <c r="H35" s="3">
        <v>1896.12</v>
      </c>
      <c r="I35" s="5">
        <v>0.15</v>
      </c>
      <c r="J35" s="3">
        <f t="shared" si="2"/>
        <v>12893.615999999998</v>
      </c>
      <c r="K35" s="3">
        <f t="shared" si="3"/>
        <v>1061.8271999999979</v>
      </c>
      <c r="L35" s="3" t="s">
        <v>226</v>
      </c>
    </row>
    <row r="36" spans="1:12" x14ac:dyDescent="0.8">
      <c r="A36" s="3" t="s">
        <v>46</v>
      </c>
      <c r="B36" s="3" t="s">
        <v>146</v>
      </c>
      <c r="C36" s="3" t="s">
        <v>198</v>
      </c>
      <c r="D36" s="3" t="s">
        <v>207</v>
      </c>
      <c r="E36" s="3" t="s">
        <v>214</v>
      </c>
      <c r="F36" s="3" t="s">
        <v>218</v>
      </c>
      <c r="G36" s="3">
        <v>5</v>
      </c>
      <c r="H36" s="3">
        <v>1689.24</v>
      </c>
      <c r="I36" s="5">
        <v>0</v>
      </c>
      <c r="J36" s="3">
        <f t="shared" si="2"/>
        <v>8446.2000000000007</v>
      </c>
      <c r="K36" s="3">
        <f t="shared" si="3"/>
        <v>1858.1639999999998</v>
      </c>
      <c r="L36" s="3" t="s">
        <v>224</v>
      </c>
    </row>
    <row r="37" spans="1:12" x14ac:dyDescent="0.8">
      <c r="A37" s="3" t="s">
        <v>47</v>
      </c>
      <c r="B37" s="3" t="s">
        <v>113</v>
      </c>
      <c r="C37" s="3" t="s">
        <v>202</v>
      </c>
      <c r="D37" s="3" t="s">
        <v>210</v>
      </c>
      <c r="E37" s="3" t="s">
        <v>211</v>
      </c>
      <c r="F37" s="3" t="s">
        <v>215</v>
      </c>
      <c r="G37" s="3">
        <v>4</v>
      </c>
      <c r="H37" s="3">
        <v>12874.99</v>
      </c>
      <c r="I37" s="5">
        <v>0.05</v>
      </c>
      <c r="J37" s="3">
        <f t="shared" si="2"/>
        <v>48924.962</v>
      </c>
      <c r="K37" s="3">
        <f t="shared" si="3"/>
        <v>8754.9931999999972</v>
      </c>
      <c r="L37" s="3" t="s">
        <v>223</v>
      </c>
    </row>
    <row r="38" spans="1:12" x14ac:dyDescent="0.8">
      <c r="A38" s="3" t="s">
        <v>48</v>
      </c>
      <c r="B38" s="3" t="s">
        <v>147</v>
      </c>
      <c r="C38" s="3" t="s">
        <v>203</v>
      </c>
      <c r="D38" s="3" t="s">
        <v>207</v>
      </c>
      <c r="E38" s="3" t="s">
        <v>212</v>
      </c>
      <c r="F38" s="3" t="s">
        <v>221</v>
      </c>
      <c r="G38" s="3">
        <v>1</v>
      </c>
      <c r="H38" s="3">
        <v>2025.25</v>
      </c>
      <c r="I38" s="5">
        <v>0.02</v>
      </c>
      <c r="J38" s="3">
        <f t="shared" si="2"/>
        <v>1984.7449999999999</v>
      </c>
      <c r="K38" s="3">
        <f t="shared" si="3"/>
        <v>405.04999999999973</v>
      </c>
      <c r="L38" s="3" t="s">
        <v>223</v>
      </c>
    </row>
    <row r="39" spans="1:12" x14ac:dyDescent="0.8">
      <c r="A39" s="3" t="s">
        <v>49</v>
      </c>
      <c r="B39" s="3" t="s">
        <v>148</v>
      </c>
      <c r="C39" s="3" t="s">
        <v>204</v>
      </c>
      <c r="D39" s="3" t="s">
        <v>205</v>
      </c>
      <c r="E39" s="3" t="s">
        <v>211</v>
      </c>
      <c r="F39" s="3" t="s">
        <v>217</v>
      </c>
      <c r="G39" s="3">
        <v>1</v>
      </c>
      <c r="H39" s="3">
        <v>3001.28</v>
      </c>
      <c r="I39" s="5">
        <v>0.15</v>
      </c>
      <c r="J39" s="3">
        <f t="shared" si="2"/>
        <v>2551.0880000000002</v>
      </c>
      <c r="K39" s="3">
        <f t="shared" si="3"/>
        <v>210.08959999999979</v>
      </c>
      <c r="L39" s="3" t="s">
        <v>224</v>
      </c>
    </row>
    <row r="40" spans="1:12" x14ac:dyDescent="0.8">
      <c r="A40" s="3" t="s">
        <v>50</v>
      </c>
      <c r="B40" s="3" t="s">
        <v>149</v>
      </c>
      <c r="C40" s="3" t="s">
        <v>201</v>
      </c>
      <c r="D40" s="3" t="s">
        <v>209</v>
      </c>
      <c r="E40" s="3" t="s">
        <v>211</v>
      </c>
      <c r="F40" s="3" t="s">
        <v>217</v>
      </c>
      <c r="G40" s="3">
        <v>3</v>
      </c>
      <c r="H40" s="3">
        <v>3243.42</v>
      </c>
      <c r="I40" s="5">
        <v>0.05</v>
      </c>
      <c r="J40" s="3">
        <f t="shared" si="2"/>
        <v>9243.7469999999994</v>
      </c>
      <c r="K40" s="3">
        <f t="shared" si="3"/>
        <v>1654.1441999999988</v>
      </c>
      <c r="L40" s="3" t="s">
        <v>224</v>
      </c>
    </row>
    <row r="41" spans="1:12" x14ac:dyDescent="0.8">
      <c r="A41" s="3" t="s">
        <v>51</v>
      </c>
      <c r="B41" s="3" t="s">
        <v>150</v>
      </c>
      <c r="C41" s="3" t="s">
        <v>200</v>
      </c>
      <c r="D41" s="3" t="s">
        <v>207</v>
      </c>
      <c r="E41" s="3" t="s">
        <v>212</v>
      </c>
      <c r="F41" s="3" t="s">
        <v>219</v>
      </c>
      <c r="G41" s="3">
        <v>2</v>
      </c>
      <c r="H41" s="3">
        <v>878.93</v>
      </c>
      <c r="I41" s="5">
        <v>0.1</v>
      </c>
      <c r="J41" s="3">
        <f t="shared" si="2"/>
        <v>1582.0739999999998</v>
      </c>
      <c r="K41" s="3">
        <f t="shared" si="3"/>
        <v>210.94319999999993</v>
      </c>
      <c r="L41" s="3" t="s">
        <v>224</v>
      </c>
    </row>
    <row r="42" spans="1:12" x14ac:dyDescent="0.8">
      <c r="A42" s="3" t="s">
        <v>52</v>
      </c>
      <c r="B42" s="3" t="s">
        <v>151</v>
      </c>
      <c r="C42" s="3" t="s">
        <v>198</v>
      </c>
      <c r="D42" s="3" t="s">
        <v>207</v>
      </c>
      <c r="E42" s="3" t="s">
        <v>213</v>
      </c>
      <c r="F42" s="3" t="s">
        <v>219</v>
      </c>
      <c r="G42" s="3">
        <v>7</v>
      </c>
      <c r="H42" s="3">
        <v>1663.14</v>
      </c>
      <c r="I42" s="5">
        <v>0.15</v>
      </c>
      <c r="J42" s="3">
        <f t="shared" si="2"/>
        <v>9895.6830000000009</v>
      </c>
      <c r="K42" s="3">
        <f t="shared" si="3"/>
        <v>814.9385999999995</v>
      </c>
      <c r="L42" s="3" t="s">
        <v>225</v>
      </c>
    </row>
    <row r="43" spans="1:12" x14ac:dyDescent="0.8">
      <c r="A43" s="3" t="s">
        <v>53</v>
      </c>
      <c r="B43" s="3" t="s">
        <v>152</v>
      </c>
      <c r="C43" s="3" t="s">
        <v>198</v>
      </c>
      <c r="D43" s="3" t="s">
        <v>207</v>
      </c>
      <c r="E43" s="3" t="s">
        <v>212</v>
      </c>
      <c r="F43" s="3" t="s">
        <v>221</v>
      </c>
      <c r="G43" s="3">
        <v>2</v>
      </c>
      <c r="H43" s="3">
        <v>1766.17</v>
      </c>
      <c r="I43" s="5">
        <v>0</v>
      </c>
      <c r="J43" s="3">
        <f t="shared" si="2"/>
        <v>3532.34</v>
      </c>
      <c r="K43" s="3">
        <f t="shared" si="3"/>
        <v>777.11479999999983</v>
      </c>
      <c r="L43" s="3" t="s">
        <v>225</v>
      </c>
    </row>
    <row r="44" spans="1:12" x14ac:dyDescent="0.8">
      <c r="A44" s="3" t="s">
        <v>54</v>
      </c>
      <c r="B44" s="3" t="s">
        <v>153</v>
      </c>
      <c r="C44" s="3" t="s">
        <v>203</v>
      </c>
      <c r="D44" s="3" t="s">
        <v>207</v>
      </c>
      <c r="E44" s="3" t="s">
        <v>214</v>
      </c>
      <c r="F44" s="3" t="s">
        <v>215</v>
      </c>
      <c r="G44" s="3">
        <v>4</v>
      </c>
      <c r="H44" s="3">
        <v>2102.4699999999998</v>
      </c>
      <c r="I44" s="5">
        <v>0.15</v>
      </c>
      <c r="J44" s="3">
        <f t="shared" si="2"/>
        <v>7148.3979999999992</v>
      </c>
      <c r="K44" s="3">
        <f t="shared" si="3"/>
        <v>588.6915999999992</v>
      </c>
      <c r="L44" s="3" t="s">
        <v>225</v>
      </c>
    </row>
    <row r="45" spans="1:12" x14ac:dyDescent="0.8">
      <c r="A45" s="3" t="s">
        <v>55</v>
      </c>
      <c r="B45" s="3" t="s">
        <v>154</v>
      </c>
      <c r="C45" s="3" t="s">
        <v>202</v>
      </c>
      <c r="D45" s="3" t="s">
        <v>210</v>
      </c>
      <c r="E45" s="3" t="s">
        <v>211</v>
      </c>
      <c r="F45" s="3" t="s">
        <v>218</v>
      </c>
      <c r="G45" s="3">
        <v>7</v>
      </c>
      <c r="H45" s="3">
        <v>12859.04</v>
      </c>
      <c r="I45" s="5">
        <v>0.1</v>
      </c>
      <c r="J45" s="3">
        <f t="shared" si="2"/>
        <v>81011.952000000005</v>
      </c>
      <c r="K45" s="3">
        <f t="shared" si="3"/>
        <v>10801.593600000007</v>
      </c>
      <c r="L45" s="3" t="s">
        <v>224</v>
      </c>
    </row>
    <row r="46" spans="1:12" x14ac:dyDescent="0.8">
      <c r="A46" s="3" t="s">
        <v>56</v>
      </c>
      <c r="B46" s="3" t="s">
        <v>155</v>
      </c>
      <c r="C46" s="3" t="s">
        <v>199</v>
      </c>
      <c r="D46" s="3" t="s">
        <v>208</v>
      </c>
      <c r="E46" s="3" t="s">
        <v>214</v>
      </c>
      <c r="F46" s="3" t="s">
        <v>216</v>
      </c>
      <c r="G46" s="3">
        <v>5</v>
      </c>
      <c r="H46" s="3">
        <v>7872.03</v>
      </c>
      <c r="I46" s="5">
        <v>0.1</v>
      </c>
      <c r="J46" s="3">
        <f t="shared" si="2"/>
        <v>35424.135000000002</v>
      </c>
      <c r="K46" s="3">
        <f t="shared" si="3"/>
        <v>4723.2180000000008</v>
      </c>
      <c r="L46" s="3" t="s">
        <v>226</v>
      </c>
    </row>
    <row r="47" spans="1:12" x14ac:dyDescent="0.8">
      <c r="A47" s="3" t="s">
        <v>57</v>
      </c>
      <c r="B47" s="3" t="s">
        <v>155</v>
      </c>
      <c r="C47" s="3" t="s">
        <v>201</v>
      </c>
      <c r="D47" s="3" t="s">
        <v>209</v>
      </c>
      <c r="E47" s="3" t="s">
        <v>212</v>
      </c>
      <c r="F47" s="3" t="s">
        <v>217</v>
      </c>
      <c r="G47" s="3">
        <v>4</v>
      </c>
      <c r="H47" s="3">
        <v>3362.64</v>
      </c>
      <c r="I47" s="5">
        <v>0.15</v>
      </c>
      <c r="J47" s="3">
        <f t="shared" si="2"/>
        <v>11432.975999999999</v>
      </c>
      <c r="K47" s="3">
        <f t="shared" si="3"/>
        <v>941.53919999999925</v>
      </c>
      <c r="L47" s="3" t="s">
        <v>223</v>
      </c>
    </row>
    <row r="48" spans="1:12" x14ac:dyDescent="0.8">
      <c r="A48" s="3" t="s">
        <v>58</v>
      </c>
      <c r="B48" s="3" t="s">
        <v>156</v>
      </c>
      <c r="C48" s="3" t="s">
        <v>195</v>
      </c>
      <c r="D48" s="3" t="s">
        <v>205</v>
      </c>
      <c r="E48" s="3" t="s">
        <v>214</v>
      </c>
      <c r="F48" s="3" t="s">
        <v>218</v>
      </c>
      <c r="G48" s="3">
        <v>6</v>
      </c>
      <c r="H48" s="3">
        <v>18354.689999999999</v>
      </c>
      <c r="I48" s="5">
        <v>0.15</v>
      </c>
      <c r="J48" s="3">
        <f t="shared" si="2"/>
        <v>93608.91899999998</v>
      </c>
      <c r="K48" s="3">
        <f t="shared" si="3"/>
        <v>7708.9697999999917</v>
      </c>
      <c r="L48" s="3" t="s">
        <v>223</v>
      </c>
    </row>
    <row r="49" spans="1:12" x14ac:dyDescent="0.8">
      <c r="A49" s="3" t="s">
        <v>59</v>
      </c>
      <c r="B49" s="3" t="s">
        <v>157</v>
      </c>
      <c r="C49" s="3" t="s">
        <v>202</v>
      </c>
      <c r="D49" s="3" t="s">
        <v>210</v>
      </c>
      <c r="E49" s="3" t="s">
        <v>213</v>
      </c>
      <c r="F49" s="3" t="s">
        <v>222</v>
      </c>
      <c r="G49" s="3">
        <v>7</v>
      </c>
      <c r="H49" s="3">
        <v>12894.42</v>
      </c>
      <c r="I49" s="5">
        <v>0.1</v>
      </c>
      <c r="J49" s="3">
        <f t="shared" si="2"/>
        <v>81234.846000000005</v>
      </c>
      <c r="K49" s="3">
        <f t="shared" si="3"/>
        <v>10831.3128</v>
      </c>
      <c r="L49" s="3" t="s">
        <v>225</v>
      </c>
    </row>
    <row r="50" spans="1:12" x14ac:dyDescent="0.8">
      <c r="A50" s="3" t="s">
        <v>60</v>
      </c>
      <c r="B50" s="3" t="s">
        <v>158</v>
      </c>
      <c r="C50" s="3" t="s">
        <v>201</v>
      </c>
      <c r="D50" s="3" t="s">
        <v>209</v>
      </c>
      <c r="E50" s="3" t="s">
        <v>214</v>
      </c>
      <c r="F50" s="3" t="s">
        <v>221</v>
      </c>
      <c r="G50" s="3">
        <v>1</v>
      </c>
      <c r="H50" s="3">
        <v>3390.17</v>
      </c>
      <c r="I50" s="5">
        <v>0.02</v>
      </c>
      <c r="J50" s="3">
        <f t="shared" si="2"/>
        <v>3322.3665999999998</v>
      </c>
      <c r="K50" s="3">
        <f t="shared" si="3"/>
        <v>678.03399999999965</v>
      </c>
      <c r="L50" s="3" t="s">
        <v>223</v>
      </c>
    </row>
    <row r="51" spans="1:12" x14ac:dyDescent="0.8">
      <c r="A51" s="3" t="s">
        <v>61</v>
      </c>
      <c r="B51" s="3" t="s">
        <v>159</v>
      </c>
      <c r="C51" s="3" t="s">
        <v>197</v>
      </c>
      <c r="D51" s="3" t="s">
        <v>206</v>
      </c>
      <c r="E51" s="3" t="s">
        <v>214</v>
      </c>
      <c r="F51" s="3" t="s">
        <v>217</v>
      </c>
      <c r="G51" s="3">
        <v>4</v>
      </c>
      <c r="H51" s="3">
        <v>6511.62</v>
      </c>
      <c r="I51" s="5">
        <v>0.15</v>
      </c>
      <c r="J51" s="3">
        <f t="shared" si="2"/>
        <v>22139.507999999998</v>
      </c>
      <c r="K51" s="3">
        <f t="shared" si="3"/>
        <v>1823.2535999999964</v>
      </c>
      <c r="L51" s="3" t="s">
        <v>226</v>
      </c>
    </row>
    <row r="52" spans="1:12" x14ac:dyDescent="0.8">
      <c r="A52" s="3" t="s">
        <v>62</v>
      </c>
      <c r="B52" s="3" t="s">
        <v>160</v>
      </c>
      <c r="C52" s="3" t="s">
        <v>200</v>
      </c>
      <c r="D52" s="3" t="s">
        <v>207</v>
      </c>
      <c r="E52" s="3" t="s">
        <v>212</v>
      </c>
      <c r="F52" s="3" t="s">
        <v>221</v>
      </c>
      <c r="G52" s="3">
        <v>5</v>
      </c>
      <c r="H52" s="3">
        <v>860.35</v>
      </c>
      <c r="I52" s="5">
        <v>0.02</v>
      </c>
      <c r="J52" s="3">
        <f t="shared" si="2"/>
        <v>4215.7150000000001</v>
      </c>
      <c r="K52" s="3">
        <f t="shared" si="3"/>
        <v>860.34999999999991</v>
      </c>
      <c r="L52" s="3" t="s">
        <v>226</v>
      </c>
    </row>
    <row r="53" spans="1:12" x14ac:dyDescent="0.8">
      <c r="A53" s="3" t="s">
        <v>63</v>
      </c>
      <c r="B53" s="3" t="s">
        <v>153</v>
      </c>
      <c r="C53" s="3" t="s">
        <v>197</v>
      </c>
      <c r="D53" s="3" t="s">
        <v>206</v>
      </c>
      <c r="E53" s="3" t="s">
        <v>213</v>
      </c>
      <c r="F53" s="3" t="s">
        <v>221</v>
      </c>
      <c r="G53" s="3">
        <v>7</v>
      </c>
      <c r="H53" s="3">
        <v>6901.58</v>
      </c>
      <c r="I53" s="5">
        <v>0.1</v>
      </c>
      <c r="J53" s="3">
        <f t="shared" si="2"/>
        <v>43479.953999999998</v>
      </c>
      <c r="K53" s="3">
        <f t="shared" si="3"/>
        <v>5797.3271999999997</v>
      </c>
      <c r="L53" s="3" t="s">
        <v>223</v>
      </c>
    </row>
    <row r="54" spans="1:12" x14ac:dyDescent="0.8">
      <c r="A54" s="3" t="s">
        <v>64</v>
      </c>
      <c r="B54" s="3" t="s">
        <v>161</v>
      </c>
      <c r="C54" s="3" t="s">
        <v>200</v>
      </c>
      <c r="D54" s="3" t="s">
        <v>207</v>
      </c>
      <c r="E54" s="3" t="s">
        <v>211</v>
      </c>
      <c r="F54" s="3" t="s">
        <v>216</v>
      </c>
      <c r="G54" s="3">
        <v>3</v>
      </c>
      <c r="H54" s="3">
        <v>922.47</v>
      </c>
      <c r="I54" s="5">
        <v>0</v>
      </c>
      <c r="J54" s="3">
        <f t="shared" si="2"/>
        <v>2767.41</v>
      </c>
      <c r="K54" s="3">
        <f t="shared" si="3"/>
        <v>608.83019999999988</v>
      </c>
      <c r="L54" s="3" t="s">
        <v>224</v>
      </c>
    </row>
    <row r="55" spans="1:12" x14ac:dyDescent="0.8">
      <c r="A55" s="3" t="s">
        <v>65</v>
      </c>
      <c r="B55" s="3" t="s">
        <v>162</v>
      </c>
      <c r="C55" s="3" t="s">
        <v>198</v>
      </c>
      <c r="D55" s="3" t="s">
        <v>207</v>
      </c>
      <c r="E55" s="3" t="s">
        <v>213</v>
      </c>
      <c r="F55" s="3" t="s">
        <v>222</v>
      </c>
      <c r="G55" s="3">
        <v>8</v>
      </c>
      <c r="H55" s="3">
        <v>1670.46</v>
      </c>
      <c r="I55" s="5">
        <v>0.02</v>
      </c>
      <c r="J55" s="3">
        <f t="shared" si="2"/>
        <v>13096.4064</v>
      </c>
      <c r="K55" s="3">
        <f t="shared" si="3"/>
        <v>2672.735999999999</v>
      </c>
      <c r="L55" s="3" t="s">
        <v>223</v>
      </c>
    </row>
    <row r="56" spans="1:12" x14ac:dyDescent="0.8">
      <c r="A56" s="3" t="s">
        <v>66</v>
      </c>
      <c r="B56" s="3" t="s">
        <v>163</v>
      </c>
      <c r="C56" s="3" t="s">
        <v>204</v>
      </c>
      <c r="D56" s="3" t="s">
        <v>205</v>
      </c>
      <c r="E56" s="3" t="s">
        <v>213</v>
      </c>
      <c r="F56" s="3" t="s">
        <v>221</v>
      </c>
      <c r="G56" s="3">
        <v>6</v>
      </c>
      <c r="H56" s="3">
        <v>3430.42</v>
      </c>
      <c r="I56" s="5">
        <v>0.08</v>
      </c>
      <c r="J56" s="3">
        <f t="shared" si="2"/>
        <v>18935.918400000002</v>
      </c>
      <c r="K56" s="3">
        <f t="shared" si="3"/>
        <v>2881.5528000000013</v>
      </c>
      <c r="L56" s="3" t="s">
        <v>224</v>
      </c>
    </row>
    <row r="57" spans="1:12" x14ac:dyDescent="0.8">
      <c r="A57" s="3" t="s">
        <v>67</v>
      </c>
      <c r="B57" s="3" t="s">
        <v>164</v>
      </c>
      <c r="C57" s="3" t="s">
        <v>197</v>
      </c>
      <c r="D57" s="3" t="s">
        <v>206</v>
      </c>
      <c r="E57" s="3" t="s">
        <v>213</v>
      </c>
      <c r="F57" s="3" t="s">
        <v>219</v>
      </c>
      <c r="G57" s="3">
        <v>8</v>
      </c>
      <c r="H57" s="3">
        <v>6249.56</v>
      </c>
      <c r="I57" s="5">
        <v>0.02</v>
      </c>
      <c r="J57" s="3">
        <f t="shared" si="2"/>
        <v>48996.5504</v>
      </c>
      <c r="K57" s="3">
        <f t="shared" si="3"/>
        <v>9999.2959999999948</v>
      </c>
      <c r="L57" s="3" t="s">
        <v>225</v>
      </c>
    </row>
    <row r="58" spans="1:12" x14ac:dyDescent="0.8">
      <c r="A58" s="3" t="s">
        <v>68</v>
      </c>
      <c r="B58" s="3" t="s">
        <v>165</v>
      </c>
      <c r="C58" s="3" t="s">
        <v>197</v>
      </c>
      <c r="D58" s="3" t="s">
        <v>206</v>
      </c>
      <c r="E58" s="3" t="s">
        <v>211</v>
      </c>
      <c r="F58" s="3" t="s">
        <v>222</v>
      </c>
      <c r="G58" s="3">
        <v>2</v>
      </c>
      <c r="H58" s="3">
        <v>6722.09</v>
      </c>
      <c r="I58" s="5">
        <v>0.02</v>
      </c>
      <c r="J58" s="3">
        <f t="shared" si="2"/>
        <v>13175.296399999999</v>
      </c>
      <c r="K58" s="3">
        <f t="shared" si="3"/>
        <v>2688.8359999999993</v>
      </c>
      <c r="L58" s="3" t="s">
        <v>224</v>
      </c>
    </row>
    <row r="59" spans="1:12" x14ac:dyDescent="0.8">
      <c r="A59" s="3" t="s">
        <v>69</v>
      </c>
      <c r="B59" s="3" t="s">
        <v>121</v>
      </c>
      <c r="C59" s="3" t="s">
        <v>200</v>
      </c>
      <c r="D59" s="3" t="s">
        <v>207</v>
      </c>
      <c r="E59" s="3" t="s">
        <v>213</v>
      </c>
      <c r="F59" s="3" t="s">
        <v>217</v>
      </c>
      <c r="G59" s="3">
        <v>7</v>
      </c>
      <c r="H59" s="3">
        <v>927.93</v>
      </c>
      <c r="I59" s="5">
        <v>0.15</v>
      </c>
      <c r="J59" s="3">
        <f t="shared" si="2"/>
        <v>5521.1834999999992</v>
      </c>
      <c r="K59" s="3">
        <f t="shared" si="3"/>
        <v>454.6857</v>
      </c>
      <c r="L59" s="3" t="s">
        <v>223</v>
      </c>
    </row>
    <row r="60" spans="1:12" x14ac:dyDescent="0.8">
      <c r="A60" s="3" t="s">
        <v>70</v>
      </c>
      <c r="B60" s="3" t="s">
        <v>166</v>
      </c>
      <c r="C60" s="3" t="s">
        <v>201</v>
      </c>
      <c r="D60" s="3" t="s">
        <v>209</v>
      </c>
      <c r="E60" s="3" t="s">
        <v>211</v>
      </c>
      <c r="F60" s="3" t="s">
        <v>216</v>
      </c>
      <c r="G60" s="3">
        <v>1</v>
      </c>
      <c r="H60" s="3">
        <v>3335.83</v>
      </c>
      <c r="I60" s="5">
        <v>0.08</v>
      </c>
      <c r="J60" s="3">
        <f t="shared" si="2"/>
        <v>3068.9636</v>
      </c>
      <c r="K60" s="3">
        <f t="shared" si="3"/>
        <v>467.01620000000003</v>
      </c>
      <c r="L60" s="3" t="s">
        <v>223</v>
      </c>
    </row>
    <row r="61" spans="1:12" x14ac:dyDescent="0.8">
      <c r="A61" s="3" t="s">
        <v>71</v>
      </c>
      <c r="B61" s="3" t="s">
        <v>167</v>
      </c>
      <c r="C61" s="3" t="s">
        <v>196</v>
      </c>
      <c r="D61" s="3" t="s">
        <v>205</v>
      </c>
      <c r="E61" s="3" t="s">
        <v>213</v>
      </c>
      <c r="F61" s="3" t="s">
        <v>219</v>
      </c>
      <c r="G61" s="3">
        <v>6</v>
      </c>
      <c r="H61" s="3">
        <v>53227.79</v>
      </c>
      <c r="I61" s="5">
        <v>0.08</v>
      </c>
      <c r="J61" s="3">
        <f t="shared" si="2"/>
        <v>293817.4008</v>
      </c>
      <c r="K61" s="3">
        <f t="shared" si="3"/>
        <v>44711.343599999993</v>
      </c>
      <c r="L61" s="3" t="s">
        <v>223</v>
      </c>
    </row>
    <row r="62" spans="1:12" x14ac:dyDescent="0.8">
      <c r="A62" s="3" t="s">
        <v>72</v>
      </c>
      <c r="B62" s="3" t="s">
        <v>166</v>
      </c>
      <c r="C62" s="3" t="s">
        <v>200</v>
      </c>
      <c r="D62" s="3" t="s">
        <v>207</v>
      </c>
      <c r="E62" s="3" t="s">
        <v>213</v>
      </c>
      <c r="F62" s="3" t="s">
        <v>222</v>
      </c>
      <c r="G62" s="3">
        <v>5</v>
      </c>
      <c r="H62" s="3">
        <v>890.76</v>
      </c>
      <c r="I62" s="5">
        <v>0</v>
      </c>
      <c r="J62" s="3">
        <f t="shared" si="2"/>
        <v>4453.8</v>
      </c>
      <c r="K62" s="3">
        <f t="shared" si="3"/>
        <v>979.83599999999979</v>
      </c>
      <c r="L62" s="3" t="s">
        <v>223</v>
      </c>
    </row>
    <row r="63" spans="1:12" x14ac:dyDescent="0.8">
      <c r="A63" s="3" t="s">
        <v>73</v>
      </c>
      <c r="B63" s="3" t="s">
        <v>168</v>
      </c>
      <c r="C63" s="3" t="s">
        <v>198</v>
      </c>
      <c r="D63" s="3" t="s">
        <v>207</v>
      </c>
      <c r="E63" s="3" t="s">
        <v>211</v>
      </c>
      <c r="F63" s="3" t="s">
        <v>216</v>
      </c>
      <c r="G63" s="3">
        <v>1</v>
      </c>
      <c r="H63" s="3">
        <v>1917.2</v>
      </c>
      <c r="I63" s="5">
        <v>0.1</v>
      </c>
      <c r="J63" s="3">
        <f t="shared" si="2"/>
        <v>1725.48</v>
      </c>
      <c r="K63" s="3">
        <f t="shared" si="3"/>
        <v>230.06399999999985</v>
      </c>
      <c r="L63" s="3" t="s">
        <v>224</v>
      </c>
    </row>
    <row r="64" spans="1:12" x14ac:dyDescent="0.8">
      <c r="A64" s="3" t="s">
        <v>74</v>
      </c>
      <c r="B64" s="3" t="s">
        <v>169</v>
      </c>
      <c r="C64" s="3" t="s">
        <v>197</v>
      </c>
      <c r="D64" s="3" t="s">
        <v>206</v>
      </c>
      <c r="E64" s="3" t="s">
        <v>214</v>
      </c>
      <c r="F64" s="3" t="s">
        <v>217</v>
      </c>
      <c r="G64" s="3">
        <v>3</v>
      </c>
      <c r="H64" s="3">
        <v>6032.3</v>
      </c>
      <c r="I64" s="5">
        <v>0.08</v>
      </c>
      <c r="J64" s="3">
        <f t="shared" si="2"/>
        <v>16649.148000000001</v>
      </c>
      <c r="K64" s="3">
        <f t="shared" si="3"/>
        <v>2533.5659999999989</v>
      </c>
      <c r="L64" s="3" t="s">
        <v>223</v>
      </c>
    </row>
    <row r="65" spans="1:12" x14ac:dyDescent="0.8">
      <c r="A65" s="3" t="s">
        <v>75</v>
      </c>
      <c r="B65" s="3" t="s">
        <v>170</v>
      </c>
      <c r="C65" s="3" t="s">
        <v>203</v>
      </c>
      <c r="D65" s="3" t="s">
        <v>207</v>
      </c>
      <c r="E65" s="3" t="s">
        <v>211</v>
      </c>
      <c r="F65" s="3" t="s">
        <v>217</v>
      </c>
      <c r="G65" s="3">
        <v>7</v>
      </c>
      <c r="H65" s="3">
        <v>2112.8000000000002</v>
      </c>
      <c r="I65" s="5">
        <v>0</v>
      </c>
      <c r="J65" s="3">
        <f t="shared" si="2"/>
        <v>14789.600000000002</v>
      </c>
      <c r="K65" s="3">
        <f t="shared" si="3"/>
        <v>3253.7119999999995</v>
      </c>
      <c r="L65" s="3" t="s">
        <v>224</v>
      </c>
    </row>
    <row r="66" spans="1:12" x14ac:dyDescent="0.8">
      <c r="A66" s="3" t="s">
        <v>76</v>
      </c>
      <c r="B66" s="3" t="s">
        <v>171</v>
      </c>
      <c r="C66" s="3" t="s">
        <v>195</v>
      </c>
      <c r="D66" s="3" t="s">
        <v>205</v>
      </c>
      <c r="E66" s="3" t="s">
        <v>212</v>
      </c>
      <c r="F66" s="3" t="s">
        <v>219</v>
      </c>
      <c r="G66" s="3">
        <v>1</v>
      </c>
      <c r="H66" s="3">
        <v>18732.189999999999</v>
      </c>
      <c r="I66" s="5">
        <v>0.02</v>
      </c>
      <c r="J66" s="3">
        <f t="shared" ref="J66:J97" si="4">G66*H66*(1-I66)</f>
        <v>18357.546199999997</v>
      </c>
      <c r="K66" s="3">
        <f t="shared" ref="K66:K97" si="5">J66-(G66*H66*0.78)</f>
        <v>3746.4379999999983</v>
      </c>
      <c r="L66" s="3" t="s">
        <v>224</v>
      </c>
    </row>
    <row r="67" spans="1:12" x14ac:dyDescent="0.8">
      <c r="A67" s="3" t="s">
        <v>77</v>
      </c>
      <c r="B67" s="3" t="s">
        <v>172</v>
      </c>
      <c r="C67" s="3" t="s">
        <v>197</v>
      </c>
      <c r="D67" s="3" t="s">
        <v>206</v>
      </c>
      <c r="E67" s="3" t="s">
        <v>214</v>
      </c>
      <c r="F67" s="3" t="s">
        <v>222</v>
      </c>
      <c r="G67" s="3">
        <v>2</v>
      </c>
      <c r="H67" s="3">
        <v>6566.53</v>
      </c>
      <c r="I67" s="5">
        <v>0.02</v>
      </c>
      <c r="J67" s="3">
        <f t="shared" si="4"/>
        <v>12870.398799999999</v>
      </c>
      <c r="K67" s="3">
        <f t="shared" si="5"/>
        <v>2626.6119999999992</v>
      </c>
      <c r="L67" s="3" t="s">
        <v>226</v>
      </c>
    </row>
    <row r="68" spans="1:12" x14ac:dyDescent="0.8">
      <c r="A68" s="3" t="s">
        <v>78</v>
      </c>
      <c r="B68" s="3" t="s">
        <v>138</v>
      </c>
      <c r="C68" s="3" t="s">
        <v>198</v>
      </c>
      <c r="D68" s="3" t="s">
        <v>207</v>
      </c>
      <c r="E68" s="3" t="s">
        <v>213</v>
      </c>
      <c r="F68" s="3" t="s">
        <v>216</v>
      </c>
      <c r="G68" s="3">
        <v>5</v>
      </c>
      <c r="H68" s="3">
        <v>1687.13</v>
      </c>
      <c r="I68" s="5">
        <v>0</v>
      </c>
      <c r="J68" s="3">
        <f t="shared" si="4"/>
        <v>8435.6500000000015</v>
      </c>
      <c r="K68" s="3">
        <f t="shared" si="5"/>
        <v>1855.8429999999998</v>
      </c>
      <c r="L68" s="3" t="s">
        <v>224</v>
      </c>
    </row>
    <row r="69" spans="1:12" x14ac:dyDescent="0.8">
      <c r="A69" s="3" t="s">
        <v>79</v>
      </c>
      <c r="B69" s="3" t="s">
        <v>156</v>
      </c>
      <c r="C69" s="3" t="s">
        <v>195</v>
      </c>
      <c r="D69" s="3" t="s">
        <v>205</v>
      </c>
      <c r="E69" s="3" t="s">
        <v>211</v>
      </c>
      <c r="F69" s="3" t="s">
        <v>220</v>
      </c>
      <c r="G69" s="3">
        <v>4</v>
      </c>
      <c r="H69" s="3">
        <v>16853.48</v>
      </c>
      <c r="I69" s="5">
        <v>0.05</v>
      </c>
      <c r="J69" s="3">
        <f t="shared" si="4"/>
        <v>64043.223999999995</v>
      </c>
      <c r="K69" s="3">
        <f t="shared" si="5"/>
        <v>11460.366399999992</v>
      </c>
      <c r="L69" s="3" t="s">
        <v>225</v>
      </c>
    </row>
    <row r="70" spans="1:12" x14ac:dyDescent="0.8">
      <c r="A70" s="3" t="s">
        <v>80</v>
      </c>
      <c r="B70" s="3" t="s">
        <v>113</v>
      </c>
      <c r="C70" s="3" t="s">
        <v>204</v>
      </c>
      <c r="D70" s="3" t="s">
        <v>205</v>
      </c>
      <c r="E70" s="3" t="s">
        <v>211</v>
      </c>
      <c r="F70" s="3" t="s">
        <v>216</v>
      </c>
      <c r="G70" s="3">
        <v>7</v>
      </c>
      <c r="H70" s="3">
        <v>3282.7</v>
      </c>
      <c r="I70" s="5">
        <v>0</v>
      </c>
      <c r="J70" s="3">
        <f t="shared" si="4"/>
        <v>22978.899999999998</v>
      </c>
      <c r="K70" s="3">
        <f t="shared" si="5"/>
        <v>5055.3580000000002</v>
      </c>
      <c r="L70" s="3" t="s">
        <v>223</v>
      </c>
    </row>
    <row r="71" spans="1:12" x14ac:dyDescent="0.8">
      <c r="A71" s="3" t="s">
        <v>81</v>
      </c>
      <c r="B71" s="3" t="s">
        <v>161</v>
      </c>
      <c r="C71" s="3" t="s">
        <v>195</v>
      </c>
      <c r="D71" s="3" t="s">
        <v>205</v>
      </c>
      <c r="E71" s="3" t="s">
        <v>212</v>
      </c>
      <c r="F71" s="3" t="s">
        <v>216</v>
      </c>
      <c r="G71" s="3">
        <v>7</v>
      </c>
      <c r="H71" s="3">
        <v>19327.07</v>
      </c>
      <c r="I71" s="5">
        <v>0.15</v>
      </c>
      <c r="J71" s="3">
        <f t="shared" si="4"/>
        <v>114996.06649999999</v>
      </c>
      <c r="K71" s="3">
        <f t="shared" si="5"/>
        <v>9470.2642999999953</v>
      </c>
      <c r="L71" s="3" t="s">
        <v>224</v>
      </c>
    </row>
    <row r="72" spans="1:12" x14ac:dyDescent="0.8">
      <c r="A72" s="3" t="s">
        <v>82</v>
      </c>
      <c r="B72" s="3" t="s">
        <v>173</v>
      </c>
      <c r="C72" s="3" t="s">
        <v>204</v>
      </c>
      <c r="D72" s="3" t="s">
        <v>205</v>
      </c>
      <c r="E72" s="3" t="s">
        <v>213</v>
      </c>
      <c r="F72" s="3" t="s">
        <v>218</v>
      </c>
      <c r="G72" s="3">
        <v>5</v>
      </c>
      <c r="H72" s="3">
        <v>3259.35</v>
      </c>
      <c r="I72" s="5">
        <v>0.1</v>
      </c>
      <c r="J72" s="3">
        <f t="shared" si="4"/>
        <v>14667.075000000001</v>
      </c>
      <c r="K72" s="3">
        <f t="shared" si="5"/>
        <v>1955.6100000000006</v>
      </c>
      <c r="L72" s="3" t="s">
        <v>225</v>
      </c>
    </row>
    <row r="73" spans="1:12" x14ac:dyDescent="0.8">
      <c r="A73" s="3" t="s">
        <v>83</v>
      </c>
      <c r="B73" s="3" t="s">
        <v>174</v>
      </c>
      <c r="C73" s="3" t="s">
        <v>200</v>
      </c>
      <c r="D73" s="3" t="s">
        <v>207</v>
      </c>
      <c r="E73" s="3" t="s">
        <v>213</v>
      </c>
      <c r="F73" s="3" t="s">
        <v>217</v>
      </c>
      <c r="G73" s="3">
        <v>2</v>
      </c>
      <c r="H73" s="3">
        <v>868.17</v>
      </c>
      <c r="I73" s="5">
        <v>0.08</v>
      </c>
      <c r="J73" s="3">
        <f t="shared" si="4"/>
        <v>1597.4328</v>
      </c>
      <c r="K73" s="3">
        <f t="shared" si="5"/>
        <v>243.08760000000007</v>
      </c>
      <c r="L73" s="3" t="s">
        <v>226</v>
      </c>
    </row>
    <row r="74" spans="1:12" x14ac:dyDescent="0.8">
      <c r="A74" s="3" t="s">
        <v>84</v>
      </c>
      <c r="B74" s="3" t="s">
        <v>175</v>
      </c>
      <c r="C74" s="3" t="s">
        <v>197</v>
      </c>
      <c r="D74" s="3" t="s">
        <v>206</v>
      </c>
      <c r="E74" s="3" t="s">
        <v>214</v>
      </c>
      <c r="F74" s="3" t="s">
        <v>218</v>
      </c>
      <c r="G74" s="3">
        <v>6</v>
      </c>
      <c r="H74" s="3">
        <v>6169.11</v>
      </c>
      <c r="I74" s="5">
        <v>0.02</v>
      </c>
      <c r="J74" s="3">
        <f t="shared" si="4"/>
        <v>36274.366799999996</v>
      </c>
      <c r="K74" s="3">
        <f t="shared" si="5"/>
        <v>7402.9319999999971</v>
      </c>
      <c r="L74" s="3" t="s">
        <v>225</v>
      </c>
    </row>
    <row r="75" spans="1:12" x14ac:dyDescent="0.8">
      <c r="A75" s="3" t="s">
        <v>85</v>
      </c>
      <c r="B75" s="3" t="s">
        <v>128</v>
      </c>
      <c r="C75" s="3" t="s">
        <v>204</v>
      </c>
      <c r="D75" s="3" t="s">
        <v>205</v>
      </c>
      <c r="E75" s="3" t="s">
        <v>213</v>
      </c>
      <c r="F75" s="3" t="s">
        <v>221</v>
      </c>
      <c r="G75" s="3">
        <v>1</v>
      </c>
      <c r="H75" s="3">
        <v>3208.51</v>
      </c>
      <c r="I75" s="5">
        <v>0.02</v>
      </c>
      <c r="J75" s="3">
        <f t="shared" si="4"/>
        <v>3144.3398000000002</v>
      </c>
      <c r="K75" s="3">
        <f t="shared" si="5"/>
        <v>641.70199999999977</v>
      </c>
      <c r="L75" s="3" t="s">
        <v>224</v>
      </c>
    </row>
    <row r="76" spans="1:12" x14ac:dyDescent="0.8">
      <c r="A76" s="3" t="s">
        <v>86</v>
      </c>
      <c r="B76" s="3" t="s">
        <v>176</v>
      </c>
      <c r="C76" s="3" t="s">
        <v>197</v>
      </c>
      <c r="D76" s="3" t="s">
        <v>206</v>
      </c>
      <c r="E76" s="3" t="s">
        <v>213</v>
      </c>
      <c r="F76" s="3" t="s">
        <v>219</v>
      </c>
      <c r="G76" s="3">
        <v>8</v>
      </c>
      <c r="H76" s="3">
        <v>6446.1</v>
      </c>
      <c r="I76" s="5">
        <v>0</v>
      </c>
      <c r="J76" s="3">
        <f t="shared" si="4"/>
        <v>51568.800000000003</v>
      </c>
      <c r="K76" s="3">
        <f t="shared" si="5"/>
        <v>11345.135999999999</v>
      </c>
      <c r="L76" s="3" t="s">
        <v>225</v>
      </c>
    </row>
    <row r="77" spans="1:12" x14ac:dyDescent="0.8">
      <c r="A77" s="3" t="s">
        <v>87</v>
      </c>
      <c r="B77" s="3" t="s">
        <v>177</v>
      </c>
      <c r="C77" s="3" t="s">
        <v>199</v>
      </c>
      <c r="D77" s="3" t="s">
        <v>208</v>
      </c>
      <c r="E77" s="3" t="s">
        <v>214</v>
      </c>
      <c r="F77" s="3" t="s">
        <v>217</v>
      </c>
      <c r="G77" s="3">
        <v>6</v>
      </c>
      <c r="H77" s="3">
        <v>8463.6299999999992</v>
      </c>
      <c r="I77" s="5">
        <v>0.1</v>
      </c>
      <c r="J77" s="3">
        <f t="shared" si="4"/>
        <v>45703.601999999999</v>
      </c>
      <c r="K77" s="3">
        <f t="shared" si="5"/>
        <v>6093.8136000000013</v>
      </c>
      <c r="L77" s="3" t="s">
        <v>223</v>
      </c>
    </row>
    <row r="78" spans="1:12" x14ac:dyDescent="0.8">
      <c r="A78" s="3" t="s">
        <v>88</v>
      </c>
      <c r="B78" s="3" t="s">
        <v>178</v>
      </c>
      <c r="C78" s="3" t="s">
        <v>203</v>
      </c>
      <c r="D78" s="3" t="s">
        <v>207</v>
      </c>
      <c r="E78" s="3" t="s">
        <v>211</v>
      </c>
      <c r="F78" s="3" t="s">
        <v>222</v>
      </c>
      <c r="G78" s="3">
        <v>5</v>
      </c>
      <c r="H78" s="3">
        <v>2112.4899999999998</v>
      </c>
      <c r="I78" s="5">
        <v>0</v>
      </c>
      <c r="J78" s="3">
        <f t="shared" si="4"/>
        <v>10562.449999999999</v>
      </c>
      <c r="K78" s="3">
        <f t="shared" si="5"/>
        <v>2323.7389999999996</v>
      </c>
      <c r="L78" s="3" t="s">
        <v>224</v>
      </c>
    </row>
    <row r="79" spans="1:12" x14ac:dyDescent="0.8">
      <c r="A79" s="3" t="s">
        <v>89</v>
      </c>
      <c r="B79" s="3" t="s">
        <v>114</v>
      </c>
      <c r="C79" s="3" t="s">
        <v>200</v>
      </c>
      <c r="D79" s="3" t="s">
        <v>207</v>
      </c>
      <c r="E79" s="3" t="s">
        <v>214</v>
      </c>
      <c r="F79" s="3" t="s">
        <v>215</v>
      </c>
      <c r="G79" s="3">
        <v>8</v>
      </c>
      <c r="H79" s="3">
        <v>867.82</v>
      </c>
      <c r="I79" s="5">
        <v>0.1</v>
      </c>
      <c r="J79" s="3">
        <f t="shared" si="4"/>
        <v>6248.3040000000001</v>
      </c>
      <c r="K79" s="3">
        <f t="shared" si="5"/>
        <v>833.10719999999947</v>
      </c>
      <c r="L79" s="3" t="s">
        <v>224</v>
      </c>
    </row>
    <row r="80" spans="1:12" x14ac:dyDescent="0.8">
      <c r="A80" s="3" t="s">
        <v>90</v>
      </c>
      <c r="B80" s="3" t="s">
        <v>179</v>
      </c>
      <c r="C80" s="3" t="s">
        <v>203</v>
      </c>
      <c r="D80" s="3" t="s">
        <v>207</v>
      </c>
      <c r="E80" s="3" t="s">
        <v>212</v>
      </c>
      <c r="F80" s="3" t="s">
        <v>218</v>
      </c>
      <c r="G80" s="3">
        <v>4</v>
      </c>
      <c r="H80" s="3">
        <v>2151.0300000000002</v>
      </c>
      <c r="I80" s="5">
        <v>0.05</v>
      </c>
      <c r="J80" s="3">
        <f t="shared" si="4"/>
        <v>8173.9140000000007</v>
      </c>
      <c r="K80" s="3">
        <f t="shared" si="5"/>
        <v>1462.7003999999997</v>
      </c>
      <c r="L80" s="3" t="s">
        <v>226</v>
      </c>
    </row>
    <row r="81" spans="1:12" x14ac:dyDescent="0.8">
      <c r="A81" s="3" t="s">
        <v>91</v>
      </c>
      <c r="B81" s="3" t="s">
        <v>147</v>
      </c>
      <c r="C81" s="3" t="s">
        <v>196</v>
      </c>
      <c r="D81" s="3" t="s">
        <v>205</v>
      </c>
      <c r="E81" s="3" t="s">
        <v>213</v>
      </c>
      <c r="F81" s="3" t="s">
        <v>215</v>
      </c>
      <c r="G81" s="3">
        <v>5</v>
      </c>
      <c r="H81" s="3">
        <v>56737.27</v>
      </c>
      <c r="I81" s="5">
        <v>0.02</v>
      </c>
      <c r="J81" s="3">
        <f t="shared" si="4"/>
        <v>278012.62299999996</v>
      </c>
      <c r="K81" s="3">
        <f t="shared" si="5"/>
        <v>56737.26999999996</v>
      </c>
      <c r="L81" s="3" t="s">
        <v>226</v>
      </c>
    </row>
    <row r="82" spans="1:12" x14ac:dyDescent="0.8">
      <c r="A82" s="3" t="s">
        <v>92</v>
      </c>
      <c r="B82" s="3" t="s">
        <v>180</v>
      </c>
      <c r="C82" s="3" t="s">
        <v>199</v>
      </c>
      <c r="D82" s="3" t="s">
        <v>208</v>
      </c>
      <c r="E82" s="3" t="s">
        <v>211</v>
      </c>
      <c r="F82" s="3" t="s">
        <v>218</v>
      </c>
      <c r="G82" s="3">
        <v>5</v>
      </c>
      <c r="H82" s="3">
        <v>8458.3799999999992</v>
      </c>
      <c r="I82" s="5">
        <v>0.08</v>
      </c>
      <c r="J82" s="3">
        <f t="shared" si="4"/>
        <v>38908.547999999995</v>
      </c>
      <c r="K82" s="3">
        <f t="shared" si="5"/>
        <v>5920.8660000000018</v>
      </c>
      <c r="L82" s="3" t="s">
        <v>223</v>
      </c>
    </row>
    <row r="83" spans="1:12" x14ac:dyDescent="0.8">
      <c r="A83" s="3" t="s">
        <v>93</v>
      </c>
      <c r="B83" s="3" t="s">
        <v>181</v>
      </c>
      <c r="C83" s="3" t="s">
        <v>195</v>
      </c>
      <c r="D83" s="3" t="s">
        <v>205</v>
      </c>
      <c r="E83" s="3" t="s">
        <v>211</v>
      </c>
      <c r="F83" s="3" t="s">
        <v>222</v>
      </c>
      <c r="G83" s="3">
        <v>2</v>
      </c>
      <c r="H83" s="3">
        <v>17714.04</v>
      </c>
      <c r="I83" s="5">
        <v>0</v>
      </c>
      <c r="J83" s="3">
        <f t="shared" si="4"/>
        <v>35428.080000000002</v>
      </c>
      <c r="K83" s="3">
        <f t="shared" si="5"/>
        <v>7794.1775999999991</v>
      </c>
      <c r="L83" s="3" t="s">
        <v>224</v>
      </c>
    </row>
    <row r="84" spans="1:12" x14ac:dyDescent="0.8">
      <c r="A84" s="3" t="s">
        <v>94</v>
      </c>
      <c r="B84" s="3" t="s">
        <v>130</v>
      </c>
      <c r="C84" s="3" t="s">
        <v>199</v>
      </c>
      <c r="D84" s="3" t="s">
        <v>208</v>
      </c>
      <c r="E84" s="3" t="s">
        <v>213</v>
      </c>
      <c r="F84" s="3" t="s">
        <v>219</v>
      </c>
      <c r="G84" s="3">
        <v>5</v>
      </c>
      <c r="H84" s="3">
        <v>7935.85</v>
      </c>
      <c r="I84" s="5">
        <v>0.02</v>
      </c>
      <c r="J84" s="3">
        <f t="shared" si="4"/>
        <v>38885.665000000001</v>
      </c>
      <c r="K84" s="3">
        <f t="shared" si="5"/>
        <v>7935.8499999999985</v>
      </c>
      <c r="L84" s="3" t="s">
        <v>223</v>
      </c>
    </row>
    <row r="85" spans="1:12" x14ac:dyDescent="0.8">
      <c r="A85" s="3" t="s">
        <v>95</v>
      </c>
      <c r="B85" s="3" t="s">
        <v>182</v>
      </c>
      <c r="C85" s="3" t="s">
        <v>197</v>
      </c>
      <c r="D85" s="3" t="s">
        <v>206</v>
      </c>
      <c r="E85" s="3" t="s">
        <v>211</v>
      </c>
      <c r="F85" s="3" t="s">
        <v>215</v>
      </c>
      <c r="G85" s="3">
        <v>8</v>
      </c>
      <c r="H85" s="3">
        <v>6289.25</v>
      </c>
      <c r="I85" s="5">
        <v>0.1</v>
      </c>
      <c r="J85" s="3">
        <f t="shared" si="4"/>
        <v>45282.6</v>
      </c>
      <c r="K85" s="3">
        <f t="shared" si="5"/>
        <v>6037.68</v>
      </c>
      <c r="L85" s="3" t="s">
        <v>224</v>
      </c>
    </row>
    <row r="86" spans="1:12" x14ac:dyDescent="0.8">
      <c r="A86" s="3" t="s">
        <v>96</v>
      </c>
      <c r="B86" s="3" t="s">
        <v>183</v>
      </c>
      <c r="C86" s="3" t="s">
        <v>200</v>
      </c>
      <c r="D86" s="3" t="s">
        <v>207</v>
      </c>
      <c r="E86" s="3" t="s">
        <v>211</v>
      </c>
      <c r="F86" s="3" t="s">
        <v>222</v>
      </c>
      <c r="G86" s="3">
        <v>5</v>
      </c>
      <c r="H86" s="3">
        <v>923.1</v>
      </c>
      <c r="I86" s="5">
        <v>0.02</v>
      </c>
      <c r="J86" s="3">
        <f t="shared" si="4"/>
        <v>4523.1899999999996</v>
      </c>
      <c r="K86" s="3">
        <f t="shared" si="5"/>
        <v>923.09999999999945</v>
      </c>
      <c r="L86" s="3" t="s">
        <v>226</v>
      </c>
    </row>
    <row r="87" spans="1:12" x14ac:dyDescent="0.8">
      <c r="A87" s="3" t="s">
        <v>97</v>
      </c>
      <c r="B87" s="3" t="s">
        <v>184</v>
      </c>
      <c r="C87" s="3" t="s">
        <v>201</v>
      </c>
      <c r="D87" s="3" t="s">
        <v>209</v>
      </c>
      <c r="E87" s="3" t="s">
        <v>214</v>
      </c>
      <c r="F87" s="3" t="s">
        <v>218</v>
      </c>
      <c r="G87" s="3">
        <v>8</v>
      </c>
      <c r="H87" s="3">
        <v>3606.05</v>
      </c>
      <c r="I87" s="5">
        <v>0.08</v>
      </c>
      <c r="J87" s="3">
        <f t="shared" si="4"/>
        <v>26540.528000000002</v>
      </c>
      <c r="K87" s="3">
        <f t="shared" si="5"/>
        <v>4038.7760000000017</v>
      </c>
      <c r="L87" s="3" t="s">
        <v>223</v>
      </c>
    </row>
    <row r="88" spans="1:12" x14ac:dyDescent="0.8">
      <c r="A88" s="3" t="s">
        <v>98</v>
      </c>
      <c r="B88" s="3" t="s">
        <v>185</v>
      </c>
      <c r="C88" s="3" t="s">
        <v>195</v>
      </c>
      <c r="D88" s="3" t="s">
        <v>205</v>
      </c>
      <c r="E88" s="3" t="s">
        <v>212</v>
      </c>
      <c r="F88" s="3" t="s">
        <v>216</v>
      </c>
      <c r="G88" s="3">
        <v>4</v>
      </c>
      <c r="H88" s="3">
        <v>19220.86</v>
      </c>
      <c r="I88" s="5">
        <v>0.15</v>
      </c>
      <c r="J88" s="3">
        <f t="shared" si="4"/>
        <v>65350.923999999999</v>
      </c>
      <c r="K88" s="3">
        <f t="shared" si="5"/>
        <v>5381.8407999999981</v>
      </c>
      <c r="L88" s="3" t="s">
        <v>226</v>
      </c>
    </row>
    <row r="89" spans="1:12" x14ac:dyDescent="0.8">
      <c r="A89" s="3" t="s">
        <v>99</v>
      </c>
      <c r="B89" s="3" t="s">
        <v>186</v>
      </c>
      <c r="C89" s="3" t="s">
        <v>204</v>
      </c>
      <c r="D89" s="3" t="s">
        <v>205</v>
      </c>
      <c r="E89" s="3" t="s">
        <v>211</v>
      </c>
      <c r="F89" s="3" t="s">
        <v>222</v>
      </c>
      <c r="G89" s="3">
        <v>4</v>
      </c>
      <c r="H89" s="3">
        <v>3275.59</v>
      </c>
      <c r="I89" s="5">
        <v>0.05</v>
      </c>
      <c r="J89" s="3">
        <f t="shared" si="4"/>
        <v>12447.242</v>
      </c>
      <c r="K89" s="3">
        <f t="shared" si="5"/>
        <v>2227.4012000000002</v>
      </c>
      <c r="L89" s="3" t="s">
        <v>225</v>
      </c>
    </row>
    <row r="90" spans="1:12" x14ac:dyDescent="0.8">
      <c r="A90" s="3" t="s">
        <v>100</v>
      </c>
      <c r="B90" s="3" t="s">
        <v>120</v>
      </c>
      <c r="C90" s="3" t="s">
        <v>199</v>
      </c>
      <c r="D90" s="3" t="s">
        <v>208</v>
      </c>
      <c r="E90" s="3" t="s">
        <v>213</v>
      </c>
      <c r="F90" s="3" t="s">
        <v>218</v>
      </c>
      <c r="G90" s="3">
        <v>5</v>
      </c>
      <c r="H90" s="3">
        <v>8417.25</v>
      </c>
      <c r="I90" s="5">
        <v>0.08</v>
      </c>
      <c r="J90" s="3">
        <f t="shared" si="4"/>
        <v>38719.35</v>
      </c>
      <c r="K90" s="3">
        <f t="shared" si="5"/>
        <v>5892.0749999999971</v>
      </c>
      <c r="L90" s="3" t="s">
        <v>223</v>
      </c>
    </row>
    <row r="91" spans="1:12" x14ac:dyDescent="0.8">
      <c r="A91" s="3" t="s">
        <v>101</v>
      </c>
      <c r="B91" s="3" t="s">
        <v>187</v>
      </c>
      <c r="C91" s="3" t="s">
        <v>197</v>
      </c>
      <c r="D91" s="3" t="s">
        <v>206</v>
      </c>
      <c r="E91" s="3" t="s">
        <v>214</v>
      </c>
      <c r="F91" s="3" t="s">
        <v>220</v>
      </c>
      <c r="G91" s="3">
        <v>2</v>
      </c>
      <c r="H91" s="3">
        <v>6601.96</v>
      </c>
      <c r="I91" s="5">
        <v>0.08</v>
      </c>
      <c r="J91" s="3">
        <f t="shared" si="4"/>
        <v>12147.606400000001</v>
      </c>
      <c r="K91" s="3">
        <f t="shared" si="5"/>
        <v>1848.5488000000005</v>
      </c>
      <c r="L91" s="3" t="s">
        <v>226</v>
      </c>
    </row>
    <row r="92" spans="1:12" x14ac:dyDescent="0.8">
      <c r="A92" s="3" t="s">
        <v>102</v>
      </c>
      <c r="B92" s="3" t="s">
        <v>188</v>
      </c>
      <c r="C92" s="3" t="s">
        <v>200</v>
      </c>
      <c r="D92" s="3" t="s">
        <v>207</v>
      </c>
      <c r="E92" s="3" t="s">
        <v>211</v>
      </c>
      <c r="F92" s="3" t="s">
        <v>222</v>
      </c>
      <c r="G92" s="3">
        <v>1</v>
      </c>
      <c r="H92" s="3">
        <v>971.94</v>
      </c>
      <c r="I92" s="5">
        <v>0.15</v>
      </c>
      <c r="J92" s="3">
        <f t="shared" si="4"/>
        <v>826.149</v>
      </c>
      <c r="K92" s="3">
        <f t="shared" si="5"/>
        <v>68.035799999999881</v>
      </c>
      <c r="L92" s="3" t="s">
        <v>223</v>
      </c>
    </row>
    <row r="93" spans="1:12" x14ac:dyDescent="0.8">
      <c r="A93" s="3" t="s">
        <v>103</v>
      </c>
      <c r="B93" s="3" t="s">
        <v>189</v>
      </c>
      <c r="C93" s="3" t="s">
        <v>204</v>
      </c>
      <c r="D93" s="3" t="s">
        <v>205</v>
      </c>
      <c r="E93" s="3" t="s">
        <v>213</v>
      </c>
      <c r="F93" s="3" t="s">
        <v>215</v>
      </c>
      <c r="G93" s="3">
        <v>8</v>
      </c>
      <c r="H93" s="3">
        <v>3413.03</v>
      </c>
      <c r="I93" s="5">
        <v>0.02</v>
      </c>
      <c r="J93" s="3">
        <f t="shared" si="4"/>
        <v>26758.155200000001</v>
      </c>
      <c r="K93" s="3">
        <f t="shared" si="5"/>
        <v>5460.8479999999981</v>
      </c>
      <c r="L93" s="3" t="s">
        <v>223</v>
      </c>
    </row>
    <row r="94" spans="1:12" x14ac:dyDescent="0.8">
      <c r="A94" s="3" t="s">
        <v>104</v>
      </c>
      <c r="B94" s="3" t="s">
        <v>115</v>
      </c>
      <c r="C94" s="3" t="s">
        <v>202</v>
      </c>
      <c r="D94" s="3" t="s">
        <v>210</v>
      </c>
      <c r="E94" s="3" t="s">
        <v>214</v>
      </c>
      <c r="F94" s="3" t="s">
        <v>216</v>
      </c>
      <c r="G94" s="3">
        <v>7</v>
      </c>
      <c r="H94" s="3">
        <v>12166.62</v>
      </c>
      <c r="I94" s="5">
        <v>0.15</v>
      </c>
      <c r="J94" s="3">
        <f t="shared" si="4"/>
        <v>72391.38900000001</v>
      </c>
      <c r="K94" s="3">
        <f t="shared" si="5"/>
        <v>5961.6438000000053</v>
      </c>
      <c r="L94" s="3" t="s">
        <v>223</v>
      </c>
    </row>
    <row r="95" spans="1:12" x14ac:dyDescent="0.8">
      <c r="A95" s="3" t="s">
        <v>105</v>
      </c>
      <c r="B95" s="3" t="s">
        <v>190</v>
      </c>
      <c r="C95" s="3" t="s">
        <v>203</v>
      </c>
      <c r="D95" s="3" t="s">
        <v>207</v>
      </c>
      <c r="E95" s="3" t="s">
        <v>214</v>
      </c>
      <c r="F95" s="3" t="s">
        <v>218</v>
      </c>
      <c r="G95" s="3">
        <v>7</v>
      </c>
      <c r="H95" s="3">
        <v>2310.38</v>
      </c>
      <c r="I95" s="5">
        <v>0.1</v>
      </c>
      <c r="J95" s="3">
        <f t="shared" si="4"/>
        <v>14555.394</v>
      </c>
      <c r="K95" s="3">
        <f t="shared" si="5"/>
        <v>1940.7191999999995</v>
      </c>
      <c r="L95" s="3" t="s">
        <v>225</v>
      </c>
    </row>
    <row r="96" spans="1:12" x14ac:dyDescent="0.8">
      <c r="A96" s="3" t="s">
        <v>106</v>
      </c>
      <c r="B96" s="3" t="s">
        <v>191</v>
      </c>
      <c r="C96" s="3" t="s">
        <v>195</v>
      </c>
      <c r="D96" s="3" t="s">
        <v>205</v>
      </c>
      <c r="E96" s="3" t="s">
        <v>213</v>
      </c>
      <c r="F96" s="3" t="s">
        <v>216</v>
      </c>
      <c r="G96" s="3">
        <v>7</v>
      </c>
      <c r="H96" s="3">
        <v>19050.939999999999</v>
      </c>
      <c r="I96" s="5">
        <v>0</v>
      </c>
      <c r="J96" s="3">
        <f t="shared" si="4"/>
        <v>133356.57999999999</v>
      </c>
      <c r="K96" s="3">
        <f t="shared" si="5"/>
        <v>29338.4476</v>
      </c>
      <c r="L96" s="3" t="s">
        <v>226</v>
      </c>
    </row>
    <row r="97" spans="1:12" x14ac:dyDescent="0.8">
      <c r="A97" s="3" t="s">
        <v>107</v>
      </c>
      <c r="B97" s="3" t="s">
        <v>192</v>
      </c>
      <c r="C97" s="3" t="s">
        <v>200</v>
      </c>
      <c r="D97" s="3" t="s">
        <v>207</v>
      </c>
      <c r="E97" s="3" t="s">
        <v>211</v>
      </c>
      <c r="F97" s="3" t="s">
        <v>219</v>
      </c>
      <c r="G97" s="3">
        <v>6</v>
      </c>
      <c r="H97" s="3">
        <v>917.66</v>
      </c>
      <c r="I97" s="5">
        <v>0.08</v>
      </c>
      <c r="J97" s="3">
        <f t="shared" si="4"/>
        <v>5065.4832000000006</v>
      </c>
      <c r="K97" s="3">
        <f t="shared" si="5"/>
        <v>770.83440000000064</v>
      </c>
      <c r="L97" s="3" t="s">
        <v>225</v>
      </c>
    </row>
    <row r="98" spans="1:12" x14ac:dyDescent="0.8">
      <c r="A98" s="3" t="s">
        <v>108</v>
      </c>
      <c r="B98" s="3" t="s">
        <v>144</v>
      </c>
      <c r="C98" s="3" t="s">
        <v>204</v>
      </c>
      <c r="D98" s="3" t="s">
        <v>205</v>
      </c>
      <c r="E98" s="3" t="s">
        <v>211</v>
      </c>
      <c r="F98" s="3" t="s">
        <v>220</v>
      </c>
      <c r="G98" s="3">
        <v>3</v>
      </c>
      <c r="H98" s="3">
        <v>3418.97</v>
      </c>
      <c r="I98" s="5">
        <v>0.08</v>
      </c>
      <c r="J98" s="3">
        <f t="shared" ref="J98:J129" si="6">G98*H98*(1-I98)</f>
        <v>9436.3572000000004</v>
      </c>
      <c r="K98" s="3">
        <f t="shared" ref="K98:K129" si="7">J98-(G98*H98*0.78)</f>
        <v>1435.9674000000005</v>
      </c>
      <c r="L98" s="3" t="s">
        <v>224</v>
      </c>
    </row>
    <row r="99" spans="1:12" x14ac:dyDescent="0.8">
      <c r="A99" s="3" t="s">
        <v>109</v>
      </c>
      <c r="B99" s="3" t="s">
        <v>193</v>
      </c>
      <c r="C99" s="3" t="s">
        <v>198</v>
      </c>
      <c r="D99" s="3" t="s">
        <v>207</v>
      </c>
      <c r="E99" s="3" t="s">
        <v>211</v>
      </c>
      <c r="F99" s="3" t="s">
        <v>221</v>
      </c>
      <c r="G99" s="3">
        <v>5</v>
      </c>
      <c r="H99" s="3">
        <v>1814.64</v>
      </c>
      <c r="I99" s="5">
        <v>0.1</v>
      </c>
      <c r="J99" s="3">
        <f t="shared" si="6"/>
        <v>8165.880000000001</v>
      </c>
      <c r="K99" s="3">
        <f t="shared" si="7"/>
        <v>1088.7840000000006</v>
      </c>
      <c r="L99" s="3" t="s">
        <v>226</v>
      </c>
    </row>
    <row r="100" spans="1:12" x14ac:dyDescent="0.8">
      <c r="A100" s="3" t="s">
        <v>110</v>
      </c>
      <c r="B100" s="3" t="s">
        <v>123</v>
      </c>
      <c r="C100" s="3" t="s">
        <v>198</v>
      </c>
      <c r="D100" s="3" t="s">
        <v>207</v>
      </c>
      <c r="E100" s="3" t="s">
        <v>213</v>
      </c>
      <c r="F100" s="3" t="s">
        <v>221</v>
      </c>
      <c r="G100" s="3">
        <v>8</v>
      </c>
      <c r="H100" s="3">
        <v>1924.6</v>
      </c>
      <c r="I100" s="5">
        <v>0.05</v>
      </c>
      <c r="J100" s="3">
        <f t="shared" si="6"/>
        <v>14626.96</v>
      </c>
      <c r="K100" s="3">
        <f t="shared" si="7"/>
        <v>2617.4560000000001</v>
      </c>
      <c r="L100" s="3" t="s">
        <v>223</v>
      </c>
    </row>
    <row r="101" spans="1:12" x14ac:dyDescent="0.8">
      <c r="A101" s="3" t="s">
        <v>111</v>
      </c>
      <c r="B101" s="3" t="s">
        <v>194</v>
      </c>
      <c r="C101" s="3" t="s">
        <v>200</v>
      </c>
      <c r="D101" s="3" t="s">
        <v>207</v>
      </c>
      <c r="E101" s="3" t="s">
        <v>212</v>
      </c>
      <c r="F101" s="3" t="s">
        <v>215</v>
      </c>
      <c r="G101" s="3">
        <v>8</v>
      </c>
      <c r="H101" s="3">
        <v>907.38</v>
      </c>
      <c r="I101" s="5">
        <v>0.08</v>
      </c>
      <c r="J101" s="3">
        <f t="shared" si="6"/>
        <v>6678.3168000000005</v>
      </c>
      <c r="K101" s="3">
        <f t="shared" si="7"/>
        <v>1016.2656000000006</v>
      </c>
      <c r="L101" s="3" t="s">
        <v>225</v>
      </c>
    </row>
    <row r="102" spans="1:12" x14ac:dyDescent="0.8">
      <c r="A102" s="3"/>
      <c r="B102" s="3"/>
      <c r="C102" s="3"/>
      <c r="D102" s="3"/>
      <c r="E102" s="3"/>
      <c r="F102" s="3"/>
      <c r="G102" s="3"/>
      <c r="H102" s="3"/>
      <c r="I102" s="5"/>
      <c r="J102" s="33">
        <f>SUM(Table1[Total Sales])</f>
        <v>4294052.6130999997</v>
      </c>
      <c r="K102" s="33">
        <f>SUM(Table1[Profit])</f>
        <v>729191.91369999968</v>
      </c>
      <c r="L102" s="3"/>
    </row>
  </sheetData>
  <conditionalFormatting sqref="A1:A101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D10F-11D1-4F10-8B6C-E74FC34F9CA7}">
  <dimension ref="A1:G28"/>
  <sheetViews>
    <sheetView workbookViewId="0">
      <selection activeCell="E28" sqref="E28"/>
    </sheetView>
  </sheetViews>
  <sheetFormatPr defaultRowHeight="24" x14ac:dyDescent="0.8"/>
  <cols>
    <col min="1" max="1" width="13.5" customWidth="1"/>
    <col min="2" max="2" width="19.296875" customWidth="1"/>
    <col min="3" max="3" width="18.69921875" customWidth="1"/>
    <col min="4" max="4" width="8.796875" customWidth="1"/>
    <col min="5" max="5" width="13.59765625" customWidth="1"/>
    <col min="6" max="6" width="19.5" customWidth="1"/>
    <col min="7" max="7" width="16.09765625" customWidth="1"/>
    <col min="8" max="11" width="8.796875" customWidth="1"/>
    <col min="13" max="15" width="8.796875" customWidth="1"/>
  </cols>
  <sheetData>
    <row r="1" spans="1:7" x14ac:dyDescent="0.8">
      <c r="A1" t="s">
        <v>227</v>
      </c>
      <c r="B1" t="s">
        <v>228</v>
      </c>
    </row>
    <row r="2" spans="1:7" x14ac:dyDescent="0.8">
      <c r="A2" t="s">
        <v>230</v>
      </c>
      <c r="B2">
        <f>SUM(Raw_Data!J2:J101)</f>
        <v>4294052.6130999997</v>
      </c>
    </row>
    <row r="3" spans="1:7" x14ac:dyDescent="0.8">
      <c r="A3" t="s">
        <v>231</v>
      </c>
      <c r="B3">
        <f>SUM(Raw_Data!K2:K101)</f>
        <v>729191.91369999968</v>
      </c>
    </row>
    <row r="4" spans="1:7" x14ac:dyDescent="0.8">
      <c r="A4" t="s">
        <v>232</v>
      </c>
      <c r="B4" s="6">
        <f>B3/B2</f>
        <v>0.16981438734016235</v>
      </c>
    </row>
    <row r="7" spans="1:7" x14ac:dyDescent="0.8">
      <c r="A7" t="s">
        <v>4</v>
      </c>
      <c r="B7" t="s">
        <v>230</v>
      </c>
      <c r="C7" t="s">
        <v>231</v>
      </c>
    </row>
    <row r="8" spans="1:7" x14ac:dyDescent="0.8">
      <c r="A8" t="s">
        <v>233</v>
      </c>
      <c r="B8">
        <f>SUMIF(Raw_Data!E:E,A8,Raw_Data!J:J)</f>
        <v>1377334.3917999996</v>
      </c>
      <c r="C8">
        <f>SUMIF(Raw_Data!E:E,A8,Raw_Data!K:K)</f>
        <v>235977.59080000006</v>
      </c>
    </row>
    <row r="9" spans="1:7" x14ac:dyDescent="0.8">
      <c r="A9" t="s">
        <v>234</v>
      </c>
      <c r="B9">
        <f>SUMIF(Raw_Data!E:E,A9,Raw_Data!J:J)</f>
        <v>803471.7415</v>
      </c>
      <c r="C9">
        <f>SUMIF(Raw_Data!E:E,A9,Raw_Data!K:K)</f>
        <v>130423.01709999995</v>
      </c>
    </row>
    <row r="10" spans="1:7" x14ac:dyDescent="0.8">
      <c r="A10" t="s">
        <v>235</v>
      </c>
      <c r="B10">
        <f>SUMIF(Raw_Data!E:E,A10,Raw_Data!J:J)</f>
        <v>803057.52449999994</v>
      </c>
      <c r="C10">
        <f>SUMIF(Raw_Data!E:E,A10,Raw_Data!K:K)</f>
        <v>130715.7531</v>
      </c>
    </row>
    <row r="11" spans="1:7" x14ac:dyDescent="0.8">
      <c r="A11" t="s">
        <v>236</v>
      </c>
      <c r="B11">
        <f>SUMIF(Raw_Data!E:E,A11,Raw_Data!J:J)</f>
        <v>1310188.9553</v>
      </c>
      <c r="C11">
        <f>SUMIF(Raw_Data!E:E,A11,Raw_Data!K:K)</f>
        <v>232075.55269999994</v>
      </c>
    </row>
    <row r="13" spans="1:7" x14ac:dyDescent="0.8">
      <c r="A13" s="13" t="s">
        <v>238</v>
      </c>
      <c r="B13" s="13" t="s">
        <v>237</v>
      </c>
      <c r="C13" s="17" t="s">
        <v>240</v>
      </c>
      <c r="E13" s="15" t="s">
        <v>238</v>
      </c>
      <c r="F13" s="15" t="s">
        <v>237</v>
      </c>
      <c r="G13" s="2" t="s">
        <v>240</v>
      </c>
    </row>
    <row r="14" spans="1:7" x14ac:dyDescent="0.8">
      <c r="A14" s="18" t="s">
        <v>205</v>
      </c>
      <c r="B14" s="14">
        <v>2721231.4139000005</v>
      </c>
      <c r="C14" s="14">
        <v>479484.27769999992</v>
      </c>
      <c r="E14" s="2" t="s">
        <v>196</v>
      </c>
      <c r="F14" s="16">
        <v>1877688.4645999998</v>
      </c>
      <c r="G14" s="16">
        <v>348805.07479999989</v>
      </c>
    </row>
    <row r="15" spans="1:7" x14ac:dyDescent="0.8">
      <c r="A15" s="18" t="s">
        <v>210</v>
      </c>
      <c r="B15" s="14">
        <v>457859.23740000004</v>
      </c>
      <c r="C15" s="14">
        <v>66839.325000000012</v>
      </c>
      <c r="E15" s="2" t="s">
        <v>195</v>
      </c>
      <c r="F15" s="16">
        <v>695340.95269999991</v>
      </c>
      <c r="G15" s="16">
        <v>104138.99329999999</v>
      </c>
    </row>
    <row r="16" spans="1:7" x14ac:dyDescent="0.8">
      <c r="A16" s="18" t="s">
        <v>206</v>
      </c>
      <c r="B16" s="14">
        <v>418392.90330000001</v>
      </c>
      <c r="C16" s="14">
        <v>70989.717300000004</v>
      </c>
      <c r="E16" s="2" t="s">
        <v>202</v>
      </c>
      <c r="F16" s="16">
        <v>457859.23740000004</v>
      </c>
      <c r="G16" s="16">
        <v>66839.325000000012</v>
      </c>
    </row>
    <row r="17" spans="1:7" x14ac:dyDescent="0.8">
      <c r="A17" s="18" t="s">
        <v>208</v>
      </c>
      <c r="B17" s="14">
        <v>331036.17089999997</v>
      </c>
      <c r="C17" s="14">
        <v>48382.360499999995</v>
      </c>
      <c r="E17" s="2" t="s">
        <v>197</v>
      </c>
      <c r="F17" s="16">
        <v>418392.90330000001</v>
      </c>
      <c r="G17" s="16">
        <v>70989.717300000004</v>
      </c>
    </row>
    <row r="18" spans="1:7" x14ac:dyDescent="0.8">
      <c r="A18" s="18" t="s">
        <v>207</v>
      </c>
      <c r="B18" s="14">
        <v>230827.61929999996</v>
      </c>
      <c r="C18" s="14">
        <v>38784.778699999981</v>
      </c>
      <c r="E18" s="2" t="s">
        <v>199</v>
      </c>
      <c r="F18" s="16">
        <v>331036.17089999997</v>
      </c>
      <c r="G18" s="16">
        <v>48382.360499999995</v>
      </c>
    </row>
    <row r="19" spans="1:7" x14ac:dyDescent="0.8">
      <c r="A19" s="18" t="s">
        <v>209</v>
      </c>
      <c r="B19" s="14">
        <v>134705.2683</v>
      </c>
      <c r="C19" s="14">
        <v>24711.454499999996</v>
      </c>
      <c r="E19" s="2" t="s">
        <v>204</v>
      </c>
      <c r="F19" s="16">
        <v>148201.99660000001</v>
      </c>
      <c r="G19" s="16">
        <v>26540.209600000006</v>
      </c>
    </row>
    <row r="20" spans="1:7" x14ac:dyDescent="0.8">
      <c r="A20" s="18" t="s">
        <v>239</v>
      </c>
      <c r="B20" s="14">
        <v>4294052.6131000007</v>
      </c>
      <c r="C20" s="14">
        <v>729191.9136999998</v>
      </c>
      <c r="E20" s="2" t="s">
        <v>201</v>
      </c>
      <c r="F20" s="16">
        <v>134705.2683</v>
      </c>
      <c r="G20" s="16">
        <v>24711.454499999996</v>
      </c>
    </row>
    <row r="21" spans="1:7" x14ac:dyDescent="0.8">
      <c r="E21" s="2" t="s">
        <v>198</v>
      </c>
      <c r="F21" s="16">
        <v>110550.0582</v>
      </c>
      <c r="G21" s="16">
        <v>18304.122599999995</v>
      </c>
    </row>
    <row r="22" spans="1:7" x14ac:dyDescent="0.8">
      <c r="E22" s="2" t="s">
        <v>203</v>
      </c>
      <c r="F22" s="16">
        <v>63822.600999999995</v>
      </c>
      <c r="G22" s="16">
        <v>11428.394199999997</v>
      </c>
    </row>
    <row r="23" spans="1:7" x14ac:dyDescent="0.8">
      <c r="A23" s="15" t="s">
        <v>238</v>
      </c>
      <c r="B23" s="15" t="s">
        <v>237</v>
      </c>
      <c r="C23" s="2" t="s">
        <v>240</v>
      </c>
      <c r="E23" s="2" t="s">
        <v>200</v>
      </c>
      <c r="F23" s="16">
        <v>56454.960100000004</v>
      </c>
      <c r="G23" s="16">
        <v>9052.2618999999977</v>
      </c>
    </row>
    <row r="24" spans="1:7" x14ac:dyDescent="0.8">
      <c r="A24" s="2" t="s">
        <v>211</v>
      </c>
      <c r="B24" s="16">
        <v>1377334.3917999996</v>
      </c>
      <c r="C24" s="16">
        <v>235977.59080000006</v>
      </c>
      <c r="E24" s="2" t="s">
        <v>239</v>
      </c>
      <c r="F24" s="16">
        <v>4294052.6130999988</v>
      </c>
      <c r="G24" s="16">
        <v>729191.91369999992</v>
      </c>
    </row>
    <row r="25" spans="1:7" x14ac:dyDescent="0.8">
      <c r="A25" s="2" t="s">
        <v>213</v>
      </c>
      <c r="B25" s="16">
        <v>1310188.9553</v>
      </c>
      <c r="C25" s="16">
        <v>232075.55269999994</v>
      </c>
    </row>
    <row r="26" spans="1:7" x14ac:dyDescent="0.8">
      <c r="A26" s="2" t="s">
        <v>212</v>
      </c>
      <c r="B26" s="16">
        <v>803471.7415</v>
      </c>
      <c r="C26" s="16">
        <v>130423.01709999995</v>
      </c>
    </row>
    <row r="27" spans="1:7" x14ac:dyDescent="0.8">
      <c r="A27" s="2" t="s">
        <v>214</v>
      </c>
      <c r="B27" s="16">
        <v>803057.52449999994</v>
      </c>
      <c r="C27" s="16">
        <v>130715.7531</v>
      </c>
    </row>
    <row r="28" spans="1:7" x14ac:dyDescent="0.8">
      <c r="A28" s="2" t="s">
        <v>239</v>
      </c>
      <c r="B28" s="16">
        <v>4294052.6130999997</v>
      </c>
      <c r="C28" s="16">
        <v>729191.91369999992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Sheet4</vt:lpstr>
      <vt:lpstr>Sheet5</vt:lpstr>
      <vt:lpstr>Dashboard</vt:lpstr>
      <vt:lpstr>Raw_Data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Shirajgonkar</dc:creator>
  <cp:lastModifiedBy>Prachi Shirajgonkar</cp:lastModifiedBy>
  <dcterms:created xsi:type="dcterms:W3CDTF">2026-09-08T05:48:21Z</dcterms:created>
  <dcterms:modified xsi:type="dcterms:W3CDTF">2026-09-08T08:44:54Z</dcterms:modified>
</cp:coreProperties>
</file>